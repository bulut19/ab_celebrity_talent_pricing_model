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7E2E52F2-292A-45EC-9892-18DC1A709104}" xr6:coauthVersionLast="47" xr6:coauthVersionMax="47" xr10:uidLastSave="{00000000-0000-0000-0000-000000000000}"/>
  <bookViews>
    <workbookView xWindow="-108" yWindow="-108" windowWidth="23256" windowHeight="12456" firstSheet="3" activeTab="3" xr2:uid="{E7ED6046-0FC1-4DBB-AE8C-610903F2BF78}"/>
  </bookViews>
  <sheets>
    <sheet name="Cleaned Data" sheetId="1" r:id="rId1"/>
    <sheet name="Regression Analysis (SB)" sheetId="2" r:id="rId2"/>
    <sheet name="Regression Analysis (No SB)" sheetId="5" r:id="rId3"/>
    <sheet name="Calculator and Test Cases " sheetId="6" r:id="rId4"/>
  </sheets>
  <definedNames>
    <definedName name="_xlnm._FilterDatabase" localSheetId="0" hidden="1">'Cleaned Data'!$A$2:$CP$36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6" l="1"/>
  <c r="C52" i="6" a="1"/>
  <c r="C52" i="6" s="1"/>
  <c r="D52" i="6" l="1"/>
  <c r="R58" i="6" a="1"/>
  <c r="R58" i="6" s="1"/>
  <c r="S58" i="6" s="1"/>
  <c r="R57" i="6" a="1"/>
  <c r="R57" i="6"/>
  <c r="S57" i="6" s="1"/>
  <c r="R56" i="6" a="1"/>
  <c r="R56" i="6"/>
  <c r="S56" i="6" s="1"/>
  <c r="R55" i="6" a="1"/>
  <c r="R55" i="6" s="1"/>
  <c r="S55" i="6" s="1"/>
  <c r="R54" i="6" a="1"/>
  <c r="R54" i="6" s="1"/>
  <c r="S54" i="6" s="1"/>
  <c r="R53" i="6" a="1"/>
  <c r="R53" i="6" s="1"/>
  <c r="S53" i="6" s="1"/>
  <c r="R52" i="6" a="1"/>
  <c r="R52" i="6" s="1"/>
  <c r="S52" i="6" s="1"/>
  <c r="M58" i="6" a="1"/>
  <c r="M58" i="6" s="1"/>
  <c r="N58" i="6" s="1"/>
  <c r="M57" i="6" a="1"/>
  <c r="M57" i="6" s="1"/>
  <c r="N57" i="6" s="1"/>
  <c r="M56" i="6" a="1"/>
  <c r="M56" i="6"/>
  <c r="N56" i="6" s="1"/>
  <c r="M55" i="6" a="1"/>
  <c r="M55" i="6"/>
  <c r="N55" i="6" s="1"/>
  <c r="M54" i="6" a="1"/>
  <c r="M54" i="6" s="1"/>
  <c r="N54" i="6" s="1"/>
  <c r="M53" i="6" a="1"/>
  <c r="M53" i="6"/>
  <c r="N53" i="6" s="1"/>
  <c r="M52" i="6" a="1"/>
  <c r="M52" i="6" s="1"/>
  <c r="N52" i="6" s="1"/>
  <c r="H58" i="6" a="1"/>
  <c r="H58" i="6" s="1"/>
  <c r="I58" i="6" s="1"/>
  <c r="H57" i="6" a="1"/>
  <c r="H57" i="6" s="1"/>
  <c r="I57" i="6" s="1"/>
  <c r="H56" i="6" a="1"/>
  <c r="H56" i="6" s="1"/>
  <c r="I56" i="6" s="1"/>
  <c r="H55" i="6" a="1"/>
  <c r="H55" i="6" s="1"/>
  <c r="I55" i="6" s="1"/>
  <c r="H54" i="6" a="1"/>
  <c r="H54" i="6" s="1"/>
  <c r="I54" i="6" s="1"/>
  <c r="H53" i="6" a="1"/>
  <c r="H53" i="6" s="1"/>
  <c r="I53" i="6" s="1"/>
  <c r="H52" i="6" a="1"/>
  <c r="H52" i="6" s="1"/>
  <c r="I52" i="6" s="1"/>
  <c r="C58" i="6" a="1"/>
  <c r="C58" i="6" s="1"/>
  <c r="D58" i="6" s="1"/>
  <c r="C57" i="6" a="1"/>
  <c r="C57" i="6" s="1"/>
  <c r="D57" i="6" s="1"/>
  <c r="C56" i="6" a="1"/>
  <c r="C56" i="6" s="1"/>
  <c r="D56" i="6" s="1"/>
  <c r="C55" i="6" a="1"/>
  <c r="C55" i="6" s="1"/>
  <c r="D55" i="6" s="1"/>
  <c r="C54" i="6" a="1"/>
  <c r="C54" i="6" s="1"/>
  <c r="D54" i="6" s="1"/>
  <c r="C53" i="6" a="1"/>
  <c r="C53" i="6" s="1"/>
  <c r="D53" i="6" s="1"/>
  <c r="A31" i="6"/>
  <c r="F31" i="6" s="1"/>
  <c r="B31" i="6"/>
  <c r="G31" i="6" s="1"/>
  <c r="A32" i="6"/>
  <c r="K32" i="6" s="1"/>
  <c r="B32" i="6"/>
  <c r="G32" i="6" s="1"/>
  <c r="F32" i="6"/>
  <c r="A33" i="6"/>
  <c r="F33" i="6" s="1"/>
  <c r="B33" i="6"/>
  <c r="G33" i="6" s="1"/>
  <c r="L33" i="6"/>
  <c r="A34" i="6"/>
  <c r="B34" i="6"/>
  <c r="L34" i="6" s="1"/>
  <c r="F34" i="6"/>
  <c r="G34" i="6"/>
  <c r="K34" i="6"/>
  <c r="A35" i="6"/>
  <c r="K35" i="6" s="1"/>
  <c r="B35" i="6"/>
  <c r="L35" i="6" s="1"/>
  <c r="A36" i="6"/>
  <c r="B36" i="6"/>
  <c r="F36" i="6"/>
  <c r="G36" i="6"/>
  <c r="K36" i="6"/>
  <c r="L36" i="6"/>
  <c r="A37" i="6"/>
  <c r="B37" i="6"/>
  <c r="L37" i="6" s="1"/>
  <c r="F37" i="6"/>
  <c r="G37" i="6"/>
  <c r="K37" i="6"/>
  <c r="A38" i="6"/>
  <c r="F38" i="6" s="1"/>
  <c r="B38" i="6"/>
  <c r="G38" i="6" s="1"/>
  <c r="K39" i="6"/>
  <c r="A11" i="6"/>
  <c r="B11" i="6"/>
  <c r="F11" i="6"/>
  <c r="G11" i="6"/>
  <c r="A12" i="6"/>
  <c r="B12" i="6"/>
  <c r="F12" i="6"/>
  <c r="G12" i="6"/>
  <c r="A13" i="6"/>
  <c r="F13" i="6" s="1"/>
  <c r="B13" i="6"/>
  <c r="G13" i="6" s="1"/>
  <c r="H17" i="6" s="1"/>
  <c r="H18" i="6" s="1"/>
  <c r="H19" i="6" s="1"/>
  <c r="A14" i="6"/>
  <c r="F14" i="6" s="1"/>
  <c r="B14" i="6"/>
  <c r="G14" i="6"/>
  <c r="A15" i="6"/>
  <c r="B15" i="6"/>
  <c r="F15" i="6"/>
  <c r="G15" i="6"/>
  <c r="F16" i="6"/>
  <c r="F3" i="1"/>
  <c r="N59" i="6" l="1"/>
  <c r="N60" i="6" s="1"/>
  <c r="L31" i="6"/>
  <c r="K31" i="6"/>
  <c r="I59" i="6"/>
  <c r="I60" i="6" s="1"/>
  <c r="K38" i="6"/>
  <c r="L38" i="6"/>
  <c r="L32" i="6"/>
  <c r="M40" i="6" s="1"/>
  <c r="M41" i="6" s="1"/>
  <c r="F35" i="6"/>
  <c r="I61" i="6"/>
  <c r="I63" i="6" s="1"/>
  <c r="S59" i="6"/>
  <c r="D59" i="6"/>
  <c r="S60" i="6"/>
  <c r="C18" i="6"/>
  <c r="G35" i="6"/>
  <c r="H40" i="6" s="1"/>
  <c r="H41" i="6" s="1"/>
  <c r="C40" i="6"/>
  <c r="C41" i="6" s="1"/>
  <c r="K33" i="6"/>
  <c r="C42" i="6" l="1"/>
  <c r="D61" i="6"/>
  <c r="C19" i="6"/>
  <c r="D64" i="6"/>
  <c r="D60" i="6"/>
  <c r="H42" i="6"/>
  <c r="N61" i="6"/>
  <c r="M42" i="6"/>
  <c r="S61" i="6"/>
  <c r="I62" i="6"/>
  <c r="I64" i="6"/>
  <c r="D63" i="6" l="1"/>
  <c r="D62" i="6"/>
  <c r="S62" i="6"/>
  <c r="S63" i="6"/>
  <c r="S64" i="6"/>
  <c r="N63" i="6"/>
  <c r="N62" i="6"/>
  <c r="N64" i="6"/>
  <c r="F12" i="1"/>
  <c r="G12" i="1" s="1" a="1"/>
  <c r="G12" i="1" s="1"/>
  <c r="F6" i="1"/>
  <c r="G6" i="1" s="1" a="1"/>
  <c r="G6" i="1" s="1"/>
  <c r="F29" i="1"/>
  <c r="G29" i="1" s="1" a="1"/>
  <c r="G29" i="1" s="1"/>
  <c r="F18" i="1"/>
  <c r="G18" i="1" s="1" a="1"/>
  <c r="G18" i="1" s="1"/>
  <c r="X18" i="1" s="1" a="1"/>
  <c r="X18" i="1" s="1"/>
  <c r="F9" i="1"/>
  <c r="G9" i="1" s="1" a="1"/>
  <c r="G9" i="1" s="1"/>
  <c r="F7" i="1"/>
  <c r="G7" i="1" s="1" a="1"/>
  <c r="G7" i="1" s="1"/>
  <c r="N7" i="1" s="1" a="1"/>
  <c r="N7" i="1" s="1"/>
  <c r="F27" i="1"/>
  <c r="G27" i="1" s="1" a="1"/>
  <c r="G27" i="1" s="1"/>
  <c r="F26" i="1"/>
  <c r="G26" i="1" s="1" a="1"/>
  <c r="G26" i="1" s="1"/>
  <c r="R26" i="1" s="1" a="1"/>
  <c r="R26" i="1" s="1"/>
  <c r="F25" i="1"/>
  <c r="G25" i="1" s="1" a="1"/>
  <c r="G25" i="1" s="1"/>
  <c r="R25" i="1" s="1" a="1"/>
  <c r="R25" i="1" s="1"/>
  <c r="F20" i="1"/>
  <c r="G20" i="1" s="1" a="1"/>
  <c r="G20" i="1" s="1"/>
  <c r="F30" i="1"/>
  <c r="G30" i="1" s="1" a="1"/>
  <c r="G30" i="1" s="1"/>
  <c r="G3" i="1" a="1"/>
  <c r="G3" i="1" s="1"/>
  <c r="F22" i="1"/>
  <c r="G22" i="1" s="1" a="1"/>
  <c r="G22" i="1" s="1"/>
  <c r="F31" i="1"/>
  <c r="G31" i="1" s="1" a="1"/>
  <c r="G31" i="1" s="1"/>
  <c r="F28" i="1"/>
  <c r="G28" i="1" s="1" a="1"/>
  <c r="G28" i="1" s="1"/>
  <c r="L28" i="1" s="1" a="1"/>
  <c r="L28" i="1" s="1"/>
  <c r="F23" i="1"/>
  <c r="G23" i="1" s="1" a="1"/>
  <c r="G23" i="1" s="1"/>
  <c r="F33" i="1"/>
  <c r="G33" i="1" s="1" a="1"/>
  <c r="G33" i="1" s="1"/>
  <c r="F5" i="1"/>
  <c r="G5" i="1" s="1" a="1"/>
  <c r="G5" i="1" s="1"/>
  <c r="F19" i="1"/>
  <c r="G19" i="1" s="1" a="1"/>
  <c r="G19" i="1" s="1"/>
  <c r="F15" i="1"/>
  <c r="G15" i="1" s="1" a="1"/>
  <c r="G15" i="1" s="1"/>
  <c r="F32" i="1"/>
  <c r="G32" i="1" s="1" a="1"/>
  <c r="G32" i="1" s="1"/>
  <c r="P32" i="1" s="1" a="1"/>
  <c r="P32" i="1" s="1"/>
  <c r="F8" i="1"/>
  <c r="G8" i="1" s="1" a="1"/>
  <c r="G8" i="1" s="1"/>
  <c r="P8" i="1" s="1" a="1"/>
  <c r="P8" i="1" s="1"/>
  <c r="F35" i="1"/>
  <c r="G35" i="1" s="1" a="1"/>
  <c r="G35" i="1" s="1"/>
  <c r="P35" i="1" s="1" a="1"/>
  <c r="P35" i="1" s="1"/>
  <c r="F21" i="1"/>
  <c r="G21" i="1" s="1" a="1"/>
  <c r="G21" i="1" s="1"/>
  <c r="P21" i="1" s="1" a="1"/>
  <c r="P21" i="1" s="1"/>
  <c r="F11" i="1"/>
  <c r="G11" i="1" s="1" a="1"/>
  <c r="G11" i="1" s="1"/>
  <c r="F24" i="1"/>
  <c r="G24" i="1" s="1" a="1"/>
  <c r="G24" i="1" s="1"/>
  <c r="F16" i="1"/>
  <c r="G16" i="1" s="1" a="1"/>
  <c r="G16" i="1" s="1"/>
  <c r="F17" i="1"/>
  <c r="G17" i="1" s="1" a="1"/>
  <c r="G17" i="1" s="1"/>
  <c r="F14" i="1"/>
  <c r="G14" i="1" s="1" a="1"/>
  <c r="G14" i="1" s="1"/>
  <c r="P14" i="1" s="1" a="1"/>
  <c r="P14" i="1" s="1"/>
  <c r="F34" i="1"/>
  <c r="G34" i="1" s="1" a="1"/>
  <c r="G34" i="1" s="1"/>
  <c r="L34" i="1" s="1" a="1"/>
  <c r="L34" i="1" s="1"/>
  <c r="F36" i="1"/>
  <c r="G36" i="1" s="1" a="1"/>
  <c r="G36" i="1" s="1"/>
  <c r="X36" i="1" s="1" a="1"/>
  <c r="X36" i="1" s="1"/>
  <c r="F13" i="1"/>
  <c r="G13" i="1" s="1" a="1"/>
  <c r="G13" i="1" s="1"/>
  <c r="R13" i="1" s="1" a="1"/>
  <c r="R13" i="1" s="1"/>
  <c r="F10" i="1"/>
  <c r="G10" i="1" s="1" a="1"/>
  <c r="G10" i="1" s="1"/>
  <c r="T10" i="1" s="1" a="1"/>
  <c r="T10" i="1" s="1"/>
  <c r="F4" i="1"/>
  <c r="G4" i="1" s="1" a="1"/>
  <c r="G4" i="1" s="1"/>
  <c r="P3" i="1" l="1" a="1"/>
  <c r="P3" i="1" s="1"/>
  <c r="X3" i="1" a="1"/>
  <c r="X3" i="1" s="1"/>
  <c r="L32" i="1" a="1"/>
  <c r="L32" i="1" s="1"/>
  <c r="L14" i="1" a="1"/>
  <c r="L14" i="1" s="1"/>
  <c r="N14" i="1" a="1"/>
  <c r="N14" i="1" s="1"/>
  <c r="N32" i="1" a="1"/>
  <c r="N32" i="1" s="1"/>
  <c r="V35" i="1" a="1"/>
  <c r="V35" i="1" s="1"/>
  <c r="V32" i="1" a="1"/>
  <c r="V32" i="1" s="1"/>
  <c r="X32" i="1" a="1"/>
  <c r="X32" i="1" s="1"/>
  <c r="N3" i="1" a="1"/>
  <c r="N3" i="1" s="1"/>
  <c r="L15" i="1" a="1"/>
  <c r="L15" i="1" s="1"/>
  <c r="X15" i="1" a="1"/>
  <c r="X15" i="1" s="1"/>
  <c r="N15" i="1" a="1"/>
  <c r="N15" i="1" s="1"/>
  <c r="P15" i="1" a="1"/>
  <c r="P15" i="1" s="1"/>
  <c r="P20" i="1" a="1"/>
  <c r="P20" i="1" s="1"/>
  <c r="R20" i="1" a="1"/>
  <c r="R20" i="1" s="1"/>
  <c r="R11" i="1" a="1"/>
  <c r="R11" i="1" s="1"/>
  <c r="V11" i="1" a="1"/>
  <c r="V11" i="1" s="1"/>
  <c r="T7" i="1" a="1"/>
  <c r="T7" i="1" s="1"/>
  <c r="L7" i="1" a="1"/>
  <c r="L7" i="1" s="1"/>
  <c r="P7" i="1" a="1"/>
  <c r="P7" i="1" s="1"/>
  <c r="V14" i="1" a="1"/>
  <c r="V14" i="1" s="1"/>
  <c r="T32" i="1" a="1"/>
  <c r="T32" i="1" s="1"/>
  <c r="T14" i="1" a="1"/>
  <c r="T14" i="1" s="1"/>
  <c r="N29" i="1" a="1"/>
  <c r="N29" i="1" s="1"/>
  <c r="P29" i="1" a="1"/>
  <c r="P29" i="1" s="1"/>
  <c r="X29" i="1" a="1"/>
  <c r="X29" i="1" s="1"/>
  <c r="V29" i="1" a="1"/>
  <c r="V29" i="1" s="1"/>
  <c r="T29" i="1" a="1"/>
  <c r="T29" i="1" s="1"/>
  <c r="L29" i="1" a="1"/>
  <c r="L29" i="1" s="1"/>
  <c r="R29" i="1" a="1"/>
  <c r="R29" i="1" s="1"/>
  <c r="L6" i="1" a="1"/>
  <c r="L6" i="1" s="1"/>
  <c r="X6" i="1" a="1"/>
  <c r="X6" i="1" s="1"/>
  <c r="N6" i="1" a="1"/>
  <c r="N6" i="1" s="1"/>
  <c r="V6" i="1" a="1"/>
  <c r="V6" i="1" s="1"/>
  <c r="T6" i="1" a="1"/>
  <c r="T6" i="1" s="1"/>
  <c r="R6" i="1" a="1"/>
  <c r="R6" i="1" s="1"/>
  <c r="P6" i="1" a="1"/>
  <c r="P6" i="1" s="1"/>
  <c r="P36" i="1" a="1"/>
  <c r="P36" i="1" s="1"/>
  <c r="R36" i="1" a="1"/>
  <c r="R36" i="1" s="1"/>
  <c r="L36" i="1" a="1"/>
  <c r="L36" i="1" s="1"/>
  <c r="V36" i="1" a="1"/>
  <c r="V36" i="1" s="1"/>
  <c r="T36" i="1" a="1"/>
  <c r="T36" i="1" s="1"/>
  <c r="N33" i="1" a="1"/>
  <c r="N33" i="1" s="1"/>
  <c r="L33" i="1" a="1"/>
  <c r="L33" i="1" s="1"/>
  <c r="R33" i="1" a="1"/>
  <c r="R33" i="1" s="1"/>
  <c r="N4" i="1" a="1"/>
  <c r="N4" i="1" s="1"/>
  <c r="T4" i="1" a="1"/>
  <c r="T4" i="1" s="1"/>
  <c r="V4" i="1" a="1"/>
  <c r="V4" i="1" s="1"/>
  <c r="R4" i="1" a="1"/>
  <c r="R4" i="1" s="1"/>
  <c r="P4" i="1" a="1"/>
  <c r="P4" i="1" s="1"/>
  <c r="V33" i="1" a="1"/>
  <c r="V33" i="1" s="1"/>
  <c r="X34" i="1" a="1"/>
  <c r="X34" i="1" s="1"/>
  <c r="T34" i="1" a="1"/>
  <c r="T34" i="1" s="1"/>
  <c r="N34" i="1" a="1"/>
  <c r="N34" i="1" s="1"/>
  <c r="V34" i="1" a="1"/>
  <c r="V34" i="1" s="1"/>
  <c r="R34" i="1" a="1"/>
  <c r="R34" i="1" s="1"/>
  <c r="V23" i="1" a="1"/>
  <c r="V23" i="1" s="1"/>
  <c r="R23" i="1" a="1"/>
  <c r="R23" i="1" s="1"/>
  <c r="X23" i="1" a="1"/>
  <c r="X23" i="1" s="1"/>
  <c r="L23" i="1" a="1"/>
  <c r="L23" i="1" s="1"/>
  <c r="P23" i="1" a="1"/>
  <c r="P23" i="1" s="1"/>
  <c r="T23" i="1" a="1"/>
  <c r="T23" i="1" s="1"/>
  <c r="T18" i="1" a="1"/>
  <c r="T18" i="1" s="1"/>
  <c r="R18" i="1" a="1"/>
  <c r="R18" i="1" s="1"/>
  <c r="V18" i="1" a="1"/>
  <c r="V18" i="1" s="1"/>
  <c r="N18" i="1" a="1"/>
  <c r="N18" i="1" s="1"/>
  <c r="P18" i="1" a="1"/>
  <c r="P18" i="1" s="1"/>
  <c r="L18" i="1" a="1"/>
  <c r="L18" i="1" s="1"/>
  <c r="N12" i="1" a="1"/>
  <c r="N12" i="1" s="1"/>
  <c r="L12" i="1" a="1"/>
  <c r="L12" i="1" s="1"/>
  <c r="T12" i="1" a="1"/>
  <c r="T12" i="1" s="1"/>
  <c r="P12" i="1" a="1"/>
  <c r="P12" i="1" s="1"/>
  <c r="R12" i="1" a="1"/>
  <c r="R12" i="1" s="1"/>
  <c r="X12" i="1" a="1"/>
  <c r="X12" i="1" s="1"/>
  <c r="V12" i="1" a="1"/>
  <c r="V12" i="1" s="1"/>
  <c r="L4" i="1" a="1"/>
  <c r="L4" i="1" s="1"/>
  <c r="T33" i="1" a="1"/>
  <c r="T33" i="1" s="1"/>
  <c r="P17" i="1" a="1"/>
  <c r="P17" i="1" s="1"/>
  <c r="X17" i="1" a="1"/>
  <c r="X17" i="1" s="1"/>
  <c r="L17" i="1" a="1"/>
  <c r="L17" i="1" s="1"/>
  <c r="N17" i="1" a="1"/>
  <c r="N17" i="1" s="1"/>
  <c r="R17" i="1" a="1"/>
  <c r="R17" i="1" s="1"/>
  <c r="V17" i="1" a="1"/>
  <c r="V17" i="1" s="1"/>
  <c r="V22" i="1" a="1"/>
  <c r="V22" i="1" s="1"/>
  <c r="R22" i="1" a="1"/>
  <c r="R22" i="1" s="1"/>
  <c r="T22" i="1" a="1"/>
  <c r="T22" i="1" s="1"/>
  <c r="P22" i="1" a="1"/>
  <c r="P22" i="1" s="1"/>
  <c r="X22" i="1" a="1"/>
  <c r="X22" i="1" s="1"/>
  <c r="N22" i="1" a="1"/>
  <c r="N22" i="1" s="1"/>
  <c r="L22" i="1" a="1"/>
  <c r="L22" i="1" s="1"/>
  <c r="P31" i="1" a="1"/>
  <c r="P31" i="1" s="1"/>
  <c r="V31" i="1" a="1"/>
  <c r="V31" i="1" s="1"/>
  <c r="T31" i="1" a="1"/>
  <c r="T31" i="1" s="1"/>
  <c r="R31" i="1" a="1"/>
  <c r="R31" i="1" s="1"/>
  <c r="X31" i="1" a="1"/>
  <c r="X31" i="1" s="1"/>
  <c r="L31" i="1" a="1"/>
  <c r="L31" i="1" s="1"/>
  <c r="N31" i="1" a="1"/>
  <c r="N31" i="1" s="1"/>
  <c r="P24" i="1" a="1"/>
  <c r="P24" i="1" s="1"/>
  <c r="V24" i="1" a="1"/>
  <c r="V24" i="1" s="1"/>
  <c r="L24" i="1" a="1"/>
  <c r="L24" i="1" s="1"/>
  <c r="X24" i="1" a="1"/>
  <c r="X24" i="1" s="1"/>
  <c r="T24" i="1" a="1"/>
  <c r="T24" i="1" s="1"/>
  <c r="R24" i="1" a="1"/>
  <c r="R24" i="1" s="1"/>
  <c r="V30" i="1" a="1"/>
  <c r="V30" i="1" s="1"/>
  <c r="L30" i="1" a="1"/>
  <c r="L30" i="1" s="1"/>
  <c r="P30" i="1" a="1"/>
  <c r="P30" i="1" s="1"/>
  <c r="N30" i="1" a="1"/>
  <c r="N30" i="1" s="1"/>
  <c r="X30" i="1" a="1"/>
  <c r="X30" i="1" s="1"/>
  <c r="P16" i="1" a="1"/>
  <c r="P16" i="1" s="1"/>
  <c r="V16" i="1" a="1"/>
  <c r="V16" i="1" s="1"/>
  <c r="N16" i="1" a="1"/>
  <c r="N16" i="1" s="1"/>
  <c r="T16" i="1" a="1"/>
  <c r="T16" i="1" s="1"/>
  <c r="X16" i="1" a="1"/>
  <c r="X16" i="1" s="1"/>
  <c r="R30" i="1" a="1"/>
  <c r="R30" i="1" s="1"/>
  <c r="T30" i="1" a="1"/>
  <c r="T30" i="1" s="1"/>
  <c r="X4" i="1" a="1"/>
  <c r="X4" i="1" s="1"/>
  <c r="N36" i="1" a="1"/>
  <c r="N36" i="1" s="1"/>
  <c r="T17" i="1" a="1"/>
  <c r="T17" i="1" s="1"/>
  <c r="N27" i="1" a="1"/>
  <c r="N27" i="1" s="1"/>
  <c r="X27" i="1" a="1"/>
  <c r="X27" i="1" s="1"/>
  <c r="T27" i="1" a="1"/>
  <c r="T27" i="1" s="1"/>
  <c r="L27" i="1" a="1"/>
  <c r="L27" i="1" s="1"/>
  <c r="R27" i="1" a="1"/>
  <c r="R27" i="1" s="1"/>
  <c r="P27" i="1" a="1"/>
  <c r="P27" i="1" s="1"/>
  <c r="V27" i="1" a="1"/>
  <c r="V27" i="1" s="1"/>
  <c r="P34" i="1" a="1"/>
  <c r="P34" i="1" s="1"/>
  <c r="T26" i="1" a="1"/>
  <c r="T26" i="1" s="1"/>
  <c r="N26" i="1" a="1"/>
  <c r="N26" i="1" s="1"/>
  <c r="L26" i="1" a="1"/>
  <c r="L26" i="1" s="1"/>
  <c r="X26" i="1" a="1"/>
  <c r="X26" i="1" s="1"/>
  <c r="P26" i="1" a="1"/>
  <c r="P26" i="1" s="1"/>
  <c r="V26" i="1" a="1"/>
  <c r="V26" i="1" s="1"/>
  <c r="L16" i="1" a="1"/>
  <c r="L16" i="1" s="1"/>
  <c r="P33" i="1" a="1"/>
  <c r="P33" i="1" s="1"/>
  <c r="X33" i="1" a="1"/>
  <c r="X33" i="1" s="1"/>
  <c r="P9" i="1" a="1"/>
  <c r="P9" i="1" s="1"/>
  <c r="R9" i="1" a="1"/>
  <c r="R9" i="1" s="1"/>
  <c r="V9" i="1" a="1"/>
  <c r="V9" i="1" s="1"/>
  <c r="L9" i="1" a="1"/>
  <c r="L9" i="1" s="1"/>
  <c r="N9" i="1" a="1"/>
  <c r="N9" i="1" s="1"/>
  <c r="X9" i="1" a="1"/>
  <c r="X9" i="1" s="1"/>
  <c r="T9" i="1" a="1"/>
  <c r="T9" i="1" s="1"/>
  <c r="V8" i="1" a="1"/>
  <c r="V8" i="1" s="1"/>
  <c r="R8" i="1" a="1"/>
  <c r="R8" i="1" s="1"/>
  <c r="L8" i="1" a="1"/>
  <c r="L8" i="1" s="1"/>
  <c r="X8" i="1" a="1"/>
  <c r="X8" i="1" s="1"/>
  <c r="N8" i="1" a="1"/>
  <c r="N8" i="1" s="1"/>
  <c r="T8" i="1" a="1"/>
  <c r="T8" i="1" s="1"/>
  <c r="N24" i="1" a="1"/>
  <c r="N24" i="1" s="1"/>
  <c r="P10" i="1" a="1"/>
  <c r="P10" i="1" s="1"/>
  <c r="L10" i="1" a="1"/>
  <c r="L10" i="1" s="1"/>
  <c r="R10" i="1" a="1"/>
  <c r="R10" i="1" s="1"/>
  <c r="N10" i="1" a="1"/>
  <c r="N10" i="1" s="1"/>
  <c r="X10" i="1" a="1"/>
  <c r="X10" i="1" s="1"/>
  <c r="V10" i="1" a="1"/>
  <c r="V10" i="1" s="1"/>
  <c r="N19" i="1" a="1"/>
  <c r="N19" i="1" s="1"/>
  <c r="L19" i="1" a="1"/>
  <c r="L19" i="1" s="1"/>
  <c r="T19" i="1" a="1"/>
  <c r="T19" i="1" s="1"/>
  <c r="V19" i="1" a="1"/>
  <c r="V19" i="1" s="1"/>
  <c r="R19" i="1" a="1"/>
  <c r="R19" i="1" s="1"/>
  <c r="R16" i="1" a="1"/>
  <c r="R16" i="1" s="1"/>
  <c r="X19" i="1" a="1"/>
  <c r="X19" i="1" s="1"/>
  <c r="N13" i="1" a="1"/>
  <c r="N13" i="1" s="1"/>
  <c r="X13" i="1" a="1"/>
  <c r="X13" i="1" s="1"/>
  <c r="L13" i="1" a="1"/>
  <c r="L13" i="1" s="1"/>
  <c r="V13" i="1" a="1"/>
  <c r="V13" i="1" s="1"/>
  <c r="P13" i="1" a="1"/>
  <c r="P13" i="1" s="1"/>
  <c r="T13" i="1" a="1"/>
  <c r="T13" i="1" s="1"/>
  <c r="L5" i="1" a="1"/>
  <c r="L5" i="1" s="1"/>
  <c r="T5" i="1" a="1"/>
  <c r="T5" i="1" s="1"/>
  <c r="X5" i="1" a="1"/>
  <c r="X5" i="1" s="1"/>
  <c r="R5" i="1" a="1"/>
  <c r="R5" i="1" s="1"/>
  <c r="P5" i="1" a="1"/>
  <c r="P5" i="1" s="1"/>
  <c r="V5" i="1" a="1"/>
  <c r="V5" i="1" s="1"/>
  <c r="N5" i="1" a="1"/>
  <c r="N5" i="1" s="1"/>
  <c r="N23" i="1" a="1"/>
  <c r="N23" i="1" s="1"/>
  <c r="P19" i="1" a="1"/>
  <c r="P19" i="1" s="1"/>
  <c r="R28" i="1" a="1"/>
  <c r="R28" i="1" s="1"/>
  <c r="X28" i="1" a="1"/>
  <c r="X28" i="1" s="1"/>
  <c r="V28" i="1" a="1"/>
  <c r="V28" i="1" s="1"/>
  <c r="T28" i="1" a="1"/>
  <c r="T28" i="1" s="1"/>
  <c r="L25" i="1" a="1"/>
  <c r="L25" i="1" s="1"/>
  <c r="N25" i="1" a="1"/>
  <c r="N25" i="1" s="1"/>
  <c r="T25" i="1" a="1"/>
  <c r="T25" i="1" s="1"/>
  <c r="P28" i="1" a="1"/>
  <c r="P28" i="1" s="1"/>
  <c r="V25" i="1" a="1"/>
  <c r="V25" i="1" s="1"/>
  <c r="X21" i="1" a="1"/>
  <c r="X21" i="1" s="1"/>
  <c r="R21" i="1" a="1"/>
  <c r="R21" i="1" s="1"/>
  <c r="L21" i="1" a="1"/>
  <c r="L21" i="1" s="1"/>
  <c r="N21" i="1" a="1"/>
  <c r="N21" i="1" s="1"/>
  <c r="T11" i="1" a="1"/>
  <c r="T11" i="1" s="1"/>
  <c r="L11" i="1" a="1"/>
  <c r="L11" i="1" s="1"/>
  <c r="X11" i="1" a="1"/>
  <c r="X11" i="1" s="1"/>
  <c r="N11" i="1" a="1"/>
  <c r="N11" i="1" s="1"/>
  <c r="P25" i="1" a="1"/>
  <c r="P25" i="1" s="1"/>
  <c r="P11" i="1" a="1"/>
  <c r="P11" i="1" s="1"/>
  <c r="T21" i="1" a="1"/>
  <c r="T21" i="1" s="1"/>
  <c r="V21" i="1" a="1"/>
  <c r="V21" i="1" s="1"/>
  <c r="R32" i="1" a="1"/>
  <c r="R32" i="1" s="1"/>
  <c r="R14" i="1" a="1"/>
  <c r="R14" i="1" s="1"/>
  <c r="X14" i="1" a="1"/>
  <c r="X14" i="1" s="1"/>
  <c r="V3" i="1" a="1"/>
  <c r="V3" i="1" s="1"/>
  <c r="R3" i="1" a="1"/>
  <c r="R3" i="1" s="1"/>
  <c r="T3" i="1" a="1"/>
  <c r="T3" i="1" s="1"/>
  <c r="L3" i="1" a="1"/>
  <c r="L3" i="1" s="1"/>
  <c r="X25" i="1" a="1"/>
  <c r="X25" i="1" s="1"/>
  <c r="R35" i="1" a="1"/>
  <c r="R35" i="1" s="1"/>
  <c r="X35" i="1" a="1"/>
  <c r="X35" i="1" s="1"/>
  <c r="T35" i="1" a="1"/>
  <c r="T35" i="1" s="1"/>
  <c r="L35" i="1" a="1"/>
  <c r="L35" i="1" s="1"/>
  <c r="N35" i="1" a="1"/>
  <c r="N35" i="1" s="1"/>
  <c r="L20" i="1" a="1"/>
  <c r="L20" i="1" s="1"/>
  <c r="X20" i="1" a="1"/>
  <c r="X20" i="1" s="1"/>
  <c r="N20" i="1" a="1"/>
  <c r="N20" i="1" s="1"/>
  <c r="T20" i="1" a="1"/>
  <c r="T20" i="1" s="1"/>
  <c r="N28" i="1" a="1"/>
  <c r="N28" i="1" s="1"/>
  <c r="V20" i="1" a="1"/>
  <c r="V20" i="1" s="1"/>
  <c r="V15" i="1" a="1"/>
  <c r="V15" i="1" s="1"/>
  <c r="R15" i="1" a="1"/>
  <c r="R15" i="1" s="1"/>
  <c r="V7" i="1" a="1"/>
  <c r="V7" i="1" s="1"/>
  <c r="R7" i="1" a="1"/>
  <c r="R7" i="1" s="1"/>
  <c r="X7" i="1" a="1"/>
  <c r="X7" i="1" s="1"/>
  <c r="T15" i="1" a="1"/>
  <c r="T15" i="1" s="1"/>
  <c r="H4" i="1" l="1"/>
  <c r="I4" i="1" s="1"/>
  <c r="J4" i="1" s="1"/>
  <c r="H14" i="1"/>
  <c r="I14" i="1" s="1"/>
  <c r="J14" i="1" s="1"/>
  <c r="H7" i="1"/>
  <c r="I7" i="1" s="1"/>
  <c r="J7" i="1" s="1"/>
  <c r="H29" i="1"/>
  <c r="I29" i="1" s="1"/>
  <c r="J29" i="1" s="1"/>
  <c r="H30" i="1"/>
  <c r="I30" i="1" s="1"/>
  <c r="J30" i="1" s="1"/>
  <c r="H22" i="1"/>
  <c r="I22" i="1" s="1"/>
  <c r="J22" i="1" s="1"/>
  <c r="H32" i="1"/>
  <c r="I32" i="1" s="1"/>
  <c r="J32" i="1" s="1"/>
  <c r="H8" i="1"/>
  <c r="I8" i="1" s="1"/>
  <c r="J8" i="1" s="1"/>
  <c r="H20" i="1"/>
  <c r="I20" i="1" s="1"/>
  <c r="J20" i="1" s="1"/>
  <c r="H28" i="1"/>
  <c r="I28" i="1" s="1"/>
  <c r="J28" i="1" s="1"/>
  <c r="H15" i="1"/>
  <c r="I15" i="1" s="1"/>
  <c r="J15" i="1" s="1"/>
  <c r="H19" i="1"/>
  <c r="I19" i="1" s="1"/>
  <c r="J19" i="1" s="1"/>
  <c r="H25" i="1"/>
  <c r="I25" i="1" s="1"/>
  <c r="J25" i="1" s="1"/>
  <c r="H26" i="1"/>
  <c r="I26" i="1" s="1"/>
  <c r="J26" i="1" s="1"/>
  <c r="H13" i="1"/>
  <c r="I13" i="1" s="1"/>
  <c r="J13" i="1" s="1"/>
  <c r="H33" i="1"/>
  <c r="I33" i="1" s="1"/>
  <c r="J33" i="1" s="1"/>
  <c r="H6" i="1"/>
  <c r="I6" i="1" s="1"/>
  <c r="J6" i="1" s="1"/>
  <c r="H3" i="1"/>
  <c r="I3" i="1" s="1"/>
  <c r="J3" i="1" s="1"/>
  <c r="H11" i="1"/>
  <c r="I11" i="1" s="1"/>
  <c r="J11" i="1" s="1"/>
  <c r="H10" i="1"/>
  <c r="I10" i="1" s="1"/>
  <c r="J10" i="1" s="1"/>
  <c r="H9" i="1"/>
  <c r="I9" i="1" s="1"/>
  <c r="J9" i="1" s="1"/>
  <c r="H12" i="1"/>
  <c r="I12" i="1" s="1"/>
  <c r="J12" i="1" s="1"/>
  <c r="H35" i="1"/>
  <c r="I35" i="1" s="1"/>
  <c r="J35" i="1" s="1"/>
  <c r="H5" i="1"/>
  <c r="I5" i="1" s="1"/>
  <c r="J5" i="1" s="1"/>
  <c r="H21" i="1"/>
  <c r="I21" i="1" s="1"/>
  <c r="J21" i="1" s="1"/>
  <c r="H36" i="1"/>
  <c r="I36" i="1" s="1"/>
  <c r="J36" i="1" s="1"/>
  <c r="H17" i="1"/>
  <c r="I17" i="1" s="1"/>
  <c r="J17" i="1" s="1"/>
  <c r="H23" i="1"/>
  <c r="I23" i="1" s="1"/>
  <c r="J23" i="1" s="1"/>
  <c r="H24" i="1"/>
  <c r="I24" i="1" s="1"/>
  <c r="J24" i="1" s="1"/>
  <c r="H31" i="1"/>
  <c r="I31" i="1" s="1"/>
  <c r="J31" i="1" s="1"/>
  <c r="H18" i="1"/>
  <c r="I18" i="1" s="1"/>
  <c r="J18" i="1" s="1"/>
  <c r="H27" i="1"/>
  <c r="I27" i="1" s="1"/>
  <c r="J27" i="1" s="1"/>
  <c r="H34" i="1"/>
  <c r="I34" i="1" s="1"/>
  <c r="J34" i="1" s="1"/>
  <c r="H16" i="1"/>
  <c r="I16" i="1" s="1"/>
  <c r="J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tc={4166B485-9517-42A7-BF8A-E1F84361E297}</author>
    <author>tc={D2C6BC9B-415B-49F6-8A34-36737A9A181A}</author>
    <author>tc={5F8F0CB8-DEE5-463C-B1DA-03CCD0118B28}</author>
    <author>tc={EB3BDF12-F284-4D16-861C-7AB310DD807C}</author>
  </authors>
  <commentList>
    <comment ref="C12" authorId="0" shapeId="0" xr:uid="{4166B485-9517-42A7-BF8A-E1F84361E297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in yellow boxes with corresponding E-Poll score for any celebrity along with the length of the deal</t>
      </text>
    </comment>
    <comment ref="C32" authorId="1" shapeId="0" xr:uid="{D2C6BC9B-415B-49F6-8A34-36737A9A181A}">
      <text>
        <t>[Threaded comment]
Your version of Excel allows you to read this threaded comment; however, any edits to it will get removed if the file is opened in a newer version of Excel. Learn more: https://go.microsoft.com/fwlink/?linkid=870924
Comment:
    Fill in yellow boxes with corresponding E-Poll score for any celebrity along with the length of the deal</t>
      </text>
    </comment>
    <comment ref="B52" authorId="2" shapeId="0" xr:uid="{5F8F0CB8-DEE5-463C-B1DA-03CCD0118B28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the quantity amounts for a celebrity deal</t>
      </text>
    </comment>
    <comment ref="D61" authorId="3" shapeId="0" xr:uid="{EB3BDF12-F284-4D16-861C-7AB310DD807C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the regression predicted total from one of the two calculators above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<sst xmlns="http://schemas.openxmlformats.org/spreadsheetml/2006/main" count="396" uniqueCount="155">
  <si>
    <t>Deliverables</t>
  </si>
  <si>
    <t>E-Poll Market Research Data - Celebrity Attributes</t>
  </si>
  <si>
    <t>Celebrity ID</t>
  </si>
  <si>
    <t>Term (Months)</t>
  </si>
  <si>
    <t>Net Worth ($M)</t>
  </si>
  <si>
    <t>Territory</t>
  </si>
  <si>
    <t>Category</t>
  </si>
  <si>
    <t>Composite Score</t>
  </si>
  <si>
    <t>Tier</t>
  </si>
  <si>
    <t>Estimated Total Cost</t>
  </si>
  <si>
    <t>Estimated Monthly Cost</t>
  </si>
  <si>
    <t>Ln(Estimated Monthly Cost)</t>
  </si>
  <si>
    <t>Super Bowl</t>
  </si>
  <si>
    <t>Superbowl Cost</t>
  </si>
  <si>
    <t>Production Days</t>
  </si>
  <si>
    <t>Cost per Production Day</t>
  </si>
  <si>
    <t>Social Media Posts</t>
  </si>
  <si>
    <t>Cost per Post</t>
  </si>
  <si>
    <t>Appearances</t>
  </si>
  <si>
    <t>Cost per Appearance</t>
  </si>
  <si>
    <t>Tour Sponsorship</t>
  </si>
  <si>
    <t>Cost per Sponsorship</t>
  </si>
  <si>
    <t>Live Performances</t>
  </si>
  <si>
    <t>Cost per Performance</t>
  </si>
  <si>
    <t>Tickets</t>
  </si>
  <si>
    <t>Cost per Ticket</t>
  </si>
  <si>
    <t>E-Score</t>
  </si>
  <si>
    <t>Endorsement Score</t>
  </si>
  <si>
    <t>Fan Score</t>
  </si>
  <si>
    <t>Social Impact Score</t>
  </si>
  <si>
    <t>Total Awareness</t>
  </si>
  <si>
    <t>Name Awareness</t>
  </si>
  <si>
    <t>Image Awareness</t>
  </si>
  <si>
    <t>Like A Lot / Like / Like Somewhat</t>
  </si>
  <si>
    <t>Like A Lot / Like</t>
  </si>
  <si>
    <t>Like A Lot</t>
  </si>
  <si>
    <t>Like</t>
  </si>
  <si>
    <t>Like Somewhat</t>
  </si>
  <si>
    <t>Dislike Somewhat</t>
  </si>
  <si>
    <t>Dislike</t>
  </si>
  <si>
    <t>Dislike A Lot</t>
  </si>
  <si>
    <t>Dislike A Lot / Dislike</t>
  </si>
  <si>
    <t>Dislike A Lot / Dislike / Dislike Somewhat</t>
  </si>
  <si>
    <t>Endorsement: Much more / Somewhat more likely</t>
  </si>
  <si>
    <t>Endorsement: Much more likely</t>
  </si>
  <si>
    <t>Endorsement: Somewhat more likely</t>
  </si>
  <si>
    <t>Endorsement: No Impact</t>
  </si>
  <si>
    <t>Endorsement: Somewhat less likely</t>
  </si>
  <si>
    <t>Endorsement: Much less likely</t>
  </si>
  <si>
    <t>Endorsement: Somewhat less / Much less likely</t>
  </si>
  <si>
    <t>Fan</t>
  </si>
  <si>
    <t>Neutral</t>
  </si>
  <si>
    <t>Non-fan</t>
  </si>
  <si>
    <t>Total (Followed or Shared)</t>
  </si>
  <si>
    <t>Followed</t>
  </si>
  <si>
    <t>Shared, Posted or Commented</t>
  </si>
  <si>
    <t>Activist</t>
  </si>
  <si>
    <t>Aggressive</t>
  </si>
  <si>
    <t>Annoying</t>
  </si>
  <si>
    <t>Approachable</t>
  </si>
  <si>
    <t>Articulate</t>
  </si>
  <si>
    <t>Attractive</t>
  </si>
  <si>
    <t>Beautiful</t>
  </si>
  <si>
    <t>Boring</t>
  </si>
  <si>
    <t>Can Identify With</t>
  </si>
  <si>
    <t>Charming</t>
  </si>
  <si>
    <t>Classy</t>
  </si>
  <si>
    <t>Cold</t>
  </si>
  <si>
    <t>Compassionate</t>
  </si>
  <si>
    <t>Confident</t>
  </si>
  <si>
    <t>Cool</t>
  </si>
  <si>
    <t>Credible</t>
  </si>
  <si>
    <t>Cute</t>
  </si>
  <si>
    <t>Distinctive Voice</t>
  </si>
  <si>
    <t>Dynamic</t>
  </si>
  <si>
    <t>Exciting</t>
  </si>
  <si>
    <t>Experienced</t>
  </si>
  <si>
    <t>Fake</t>
  </si>
  <si>
    <t>Funny</t>
  </si>
  <si>
    <t>Glamorous</t>
  </si>
  <si>
    <t>Good Energy</t>
  </si>
  <si>
    <t>Influential</t>
  </si>
  <si>
    <t>Inspirational</t>
  </si>
  <si>
    <t>Intelligent</t>
  </si>
  <si>
    <t>Interesting</t>
  </si>
  <si>
    <t>Over-Exposed</t>
  </si>
  <si>
    <t>Physically Fit</t>
  </si>
  <si>
    <t>Real (Authentic)</t>
  </si>
  <si>
    <t>Sexy</t>
  </si>
  <si>
    <t>Sincere</t>
  </si>
  <si>
    <t>Stylish</t>
  </si>
  <si>
    <t>Talented</t>
  </si>
  <si>
    <t>Trend-Setter</t>
  </si>
  <si>
    <t>Trustworthy</t>
  </si>
  <si>
    <t>Unique</t>
  </si>
  <si>
    <t>Versatile</t>
  </si>
  <si>
    <t>United States</t>
  </si>
  <si>
    <t>Entertainment</t>
  </si>
  <si>
    <t>Athlete</t>
  </si>
  <si>
    <t>Music Artist</t>
  </si>
  <si>
    <t>Global</t>
  </si>
  <si>
    <t>Comedian</t>
  </si>
  <si>
    <t>TV Personality</t>
  </si>
  <si>
    <t>A List</t>
  </si>
  <si>
    <t>Supporting</t>
  </si>
  <si>
    <t>B List</t>
  </si>
  <si>
    <t>Live Performance</t>
  </si>
  <si>
    <t>Production Day</t>
  </si>
  <si>
    <t>Appearance</t>
  </si>
  <si>
    <t>Social Media Post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</si>
  <si>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</si>
  <si>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</si>
  <si>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</si>
  <si>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</si>
  <si>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</si>
  <si>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</si>
  <si>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</si>
  <si>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</si>
  <si>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</si>
  <si>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</si>
  <si>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</si>
  <si>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</si>
  <si>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</si>
  <si>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</si>
  <si>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</si>
  <si>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</si>
  <si>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</si>
  <si>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</si>
  <si>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</si>
  <si>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</si>
  <si>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</si>
  <si>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</si>
  <si>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</si>
  <si>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</si>
  <si>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Superbowl Appearance</t>
  </si>
  <si>
    <t>Calculator</t>
  </si>
  <si>
    <t>Input Value</t>
  </si>
  <si>
    <t>Term Length</t>
  </si>
  <si>
    <t>Monthly Cost</t>
  </si>
  <si>
    <t>Total Cost</t>
  </si>
  <si>
    <t>Non- Exclusive</t>
  </si>
  <si>
    <t>No Superbowl Appearance</t>
  </si>
  <si>
    <t>Deal Package Designer</t>
  </si>
  <si>
    <t>Select One</t>
  </si>
  <si>
    <t>Deliverable</t>
  </si>
  <si>
    <t>Proposed Qty</t>
  </si>
  <si>
    <t>Unit Price</t>
  </si>
  <si>
    <t>Line Total</t>
  </si>
  <si>
    <t xml:space="preserve">Live Performances </t>
  </si>
  <si>
    <t>Line-Item Total</t>
  </si>
  <si>
    <t>Non-Exclusive Total</t>
  </si>
  <si>
    <t>Regression Predicted Total</t>
  </si>
  <si>
    <t>Difference ($)</t>
  </si>
  <si>
    <t>Variance (%)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</si>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</sst>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00"/>
    <numFmt numFmtId="166" formatCode="0.000"/>
    <numFmt numFmtId="167" formatCode="_(&quot;$&quot;* #,##0.000_);_(&quot;$&quot;* \(#,##0.000\);_(&quot;$&quot;* &quot;-&quot;???_);_(@_)"/>
    <numFmt numFmtId="168" formatCode="&quot;$&quot;#,##0.0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24"/>
      <color theme="1"/>
      <name val="Aptos Narrow"/>
      <family val="2"/>
      <scheme val="minor"/>
    </font>
    <font>
      <sz val="10"/>
      <color rgb="FF000000"/>
      <name val="Arial"/>
      <family val="2"/>
    </font>
    <font>
      <i/>
      <sz val="11"/>
      <color theme="1"/>
      <name val="Aptos Narrow"/>
      <family val="2"/>
      <scheme val="minor"/>
    </font>
    <font>
      <b/>
      <sz val="35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gradientFill degree="45">
        <stop position="0">
          <color theme="5"/>
        </stop>
        <stop position="1">
          <color theme="7"/>
        </stop>
      </gradientFill>
    </fill>
    <fill>
      <patternFill patternType="solid">
        <fgColor theme="9"/>
        <bgColor indexed="64"/>
      </patternFill>
    </fill>
    <fill>
      <patternFill patternType="solid">
        <fgColor theme="5"/>
        <bgColor auto="1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2" borderId="1" xfId="0" applyFont="1" applyFill="1" applyBorder="1"/>
    <xf numFmtId="0" fontId="0" fillId="2" borderId="2" xfId="0" applyFill="1" applyBorder="1"/>
    <xf numFmtId="0" fontId="0" fillId="0" borderId="3" xfId="0" applyBorder="1"/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0" fontId="0" fillId="0" borderId="3" xfId="0" applyBorder="1" applyAlignment="1">
      <alignment horizontal="center"/>
    </xf>
    <xf numFmtId="0" fontId="2" fillId="0" borderId="1" xfId="0" applyFont="1" applyBorder="1"/>
    <xf numFmtId="0" fontId="0" fillId="4" borderId="3" xfId="0" applyFill="1" applyBorder="1"/>
    <xf numFmtId="0" fontId="2" fillId="5" borderId="1" xfId="0" applyFont="1" applyFill="1" applyBorder="1"/>
    <xf numFmtId="0" fontId="2" fillId="6" borderId="3" xfId="0" applyFont="1" applyFill="1" applyBorder="1"/>
    <xf numFmtId="0" fontId="2" fillId="6" borderId="3" xfId="0" applyFont="1" applyFill="1" applyBorder="1" applyAlignment="1">
      <alignment horizontal="right"/>
    </xf>
    <xf numFmtId="3" fontId="0" fillId="0" borderId="3" xfId="0" applyNumberFormat="1" applyBorder="1"/>
    <xf numFmtId="3" fontId="0" fillId="0" borderId="3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3" fontId="4" fillId="0" borderId="5" xfId="0" applyNumberFormat="1" applyFont="1" applyBorder="1"/>
    <xf numFmtId="0" fontId="0" fillId="0" borderId="5" xfId="0" applyBorder="1"/>
    <xf numFmtId="0" fontId="0" fillId="0" borderId="5" xfId="0" applyBorder="1" applyAlignment="1">
      <alignment horizontal="right"/>
    </xf>
    <xf numFmtId="0" fontId="2" fillId="6" borderId="7" xfId="0" applyFont="1" applyFill="1" applyBorder="1"/>
    <xf numFmtId="0" fontId="2" fillId="6" borderId="8" xfId="0" applyFont="1" applyFill="1" applyBorder="1"/>
    <xf numFmtId="0" fontId="2" fillId="6" borderId="6" xfId="0" applyFont="1" applyFill="1" applyBorder="1"/>
    <xf numFmtId="3" fontId="0" fillId="0" borderId="5" xfId="0" applyNumberFormat="1" applyBorder="1" applyAlignment="1">
      <alignment horizontal="right"/>
    </xf>
    <xf numFmtId="3" fontId="0" fillId="0" borderId="5" xfId="0" applyNumberFormat="1" applyBorder="1"/>
    <xf numFmtId="0" fontId="2" fillId="6" borderId="9" xfId="0" applyFont="1" applyFill="1" applyBorder="1"/>
    <xf numFmtId="0" fontId="0" fillId="0" borderId="2" xfId="0" applyBorder="1"/>
    <xf numFmtId="0" fontId="0" fillId="0" borderId="2" xfId="0" applyBorder="1" applyAlignment="1">
      <alignment horizontal="center"/>
    </xf>
    <xf numFmtId="164" fontId="0" fillId="2" borderId="3" xfId="2" applyNumberFormat="1" applyFont="1" applyFill="1" applyBorder="1"/>
    <xf numFmtId="164" fontId="0" fillId="0" borderId="3" xfId="2" applyNumberFormat="1" applyFont="1" applyBorder="1"/>
    <xf numFmtId="165" fontId="0" fillId="2" borderId="3" xfId="0" applyNumberFormat="1" applyFill="1" applyBorder="1" applyAlignment="1">
      <alignment horizontal="center"/>
    </xf>
    <xf numFmtId="0" fontId="2" fillId="7" borderId="1" xfId="0" applyFont="1" applyFill="1" applyBorder="1"/>
    <xf numFmtId="0" fontId="0" fillId="0" borderId="4" xfId="0" applyBorder="1"/>
    <xf numFmtId="0" fontId="5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Continuous"/>
    </xf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0" fillId="5" borderId="6" xfId="0" applyFill="1" applyBorder="1"/>
    <xf numFmtId="44" fontId="0" fillId="0" borderId="6" xfId="3" applyFont="1" applyBorder="1"/>
    <xf numFmtId="44" fontId="0" fillId="11" borderId="6" xfId="3" applyFont="1" applyFill="1" applyBorder="1"/>
    <xf numFmtId="0" fontId="3" fillId="3" borderId="4" xfId="0" applyFont="1" applyFill="1" applyBorder="1"/>
    <xf numFmtId="0" fontId="2" fillId="12" borderId="1" xfId="0" applyFont="1" applyFill="1" applyBorder="1"/>
    <xf numFmtId="0" fontId="2" fillId="0" borderId="14" xfId="0" applyFont="1" applyBorder="1"/>
    <xf numFmtId="0" fontId="0" fillId="5" borderId="14" xfId="0" applyFill="1" applyBorder="1"/>
    <xf numFmtId="0" fontId="2" fillId="0" borderId="0" xfId="0" applyFont="1"/>
    <xf numFmtId="3" fontId="0" fillId="0" borderId="0" xfId="0" applyNumberFormat="1"/>
    <xf numFmtId="3" fontId="4" fillId="0" borderId="0" xfId="0" applyNumberFormat="1" applyFont="1"/>
    <xf numFmtId="43" fontId="0" fillId="2" borderId="3" xfId="3" applyNumberFormat="1" applyFont="1" applyFill="1" applyBorder="1"/>
    <xf numFmtId="43" fontId="0" fillId="2" borderId="3" xfId="0" applyNumberFormat="1" applyFill="1" applyBorder="1"/>
    <xf numFmtId="3" fontId="0" fillId="2" borderId="3" xfId="0" applyNumberFormat="1" applyFill="1" applyBorder="1"/>
    <xf numFmtId="43" fontId="0" fillId="0" borderId="3" xfId="0" applyNumberFormat="1" applyBorder="1"/>
    <xf numFmtId="168" fontId="0" fillId="11" borderId="14" xfId="0" applyNumberFormat="1" applyFill="1" applyBorder="1"/>
    <xf numFmtId="0" fontId="2" fillId="0" borderId="14" xfId="0" applyFont="1" applyBorder="1" applyAlignment="1">
      <alignment horizontal="center"/>
    </xf>
    <xf numFmtId="168" fontId="0" fillId="0" borderId="14" xfId="0" applyNumberFormat="1" applyBorder="1"/>
    <xf numFmtId="168" fontId="0" fillId="11" borderId="15" xfId="0" applyNumberFormat="1" applyFill="1" applyBorder="1"/>
    <xf numFmtId="44" fontId="0" fillId="0" borderId="14" xfId="0" applyNumberFormat="1" applyBorder="1"/>
    <xf numFmtId="168" fontId="0" fillId="0" borderId="15" xfId="0" applyNumberFormat="1" applyBorder="1"/>
    <xf numFmtId="10" fontId="0" fillId="0" borderId="14" xfId="0" applyNumberFormat="1" applyBorder="1"/>
    <xf numFmtId="0" fontId="0" fillId="0" borderId="13" xfId="0" applyBorder="1"/>
    <xf numFmtId="0" fontId="0" fillId="0" borderId="17" xfId="0" applyBorder="1"/>
    <xf numFmtId="0" fontId="0" fillId="0" borderId="19" xfId="0" applyBorder="1"/>
    <xf numFmtId="0" fontId="0" fillId="0" borderId="18" xfId="0" applyBorder="1"/>
    <xf numFmtId="168" fontId="0" fillId="0" borderId="0" xfId="0" applyNumberFormat="1"/>
    <xf numFmtId="0" fontId="0" fillId="0" borderId="20" xfId="0" applyBorder="1"/>
    <xf numFmtId="0" fontId="0" fillId="0" borderId="21" xfId="0" applyBorder="1"/>
    <xf numFmtId="166" fontId="0" fillId="0" borderId="0" xfId="0" applyNumberFormat="1"/>
    <xf numFmtId="167" fontId="0" fillId="0" borderId="0" xfId="0" applyNumberFormat="1"/>
    <xf numFmtId="44" fontId="0" fillId="0" borderId="0" xfId="0" applyNumberFormat="1"/>
    <xf numFmtId="0" fontId="0" fillId="0" borderId="22" xfId="0" applyBorder="1"/>
    <xf numFmtId="0" fontId="0" fillId="0" borderId="23" xfId="0" applyBorder="1"/>
    <xf numFmtId="168" fontId="0" fillId="5" borderId="14" xfId="0" applyNumberFormat="1" applyFill="1" applyBorder="1"/>
    <xf numFmtId="0" fontId="3" fillId="3" borderId="4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Currency 2" xfId="1" xr:uid="{6738E3D9-4FEE-4344-A39C-CEF6F9C15E1E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3</xdr:row>
      <xdr:rowOff>137160</xdr:rowOff>
    </xdr:from>
    <xdr:to>
      <xdr:col>10</xdr:col>
      <xdr:colOff>231493</xdr:colOff>
      <xdr:row>7</xdr:row>
      <xdr:rowOff>53340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1F7D3E-ACFB-4D73-8CD7-DE93ACDEDC49}"/>
            </a:ext>
          </a:extLst>
        </xdr:cNvPr>
        <xdr:cNvSpPr txBox="1"/>
      </xdr:nvSpPr>
      <xdr:spPr>
        <a:xfrm>
          <a:off x="175260" y="686957"/>
          <a:ext cx="12499018" cy="6878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ln(Monthly Rate)</a:t>
          </a:r>
          <a:r>
            <a:rPr lang="en-US" sz="1800" baseline="0"/>
            <a:t> = e^(11.664 - 0.068(Shared, Posted or Commented) + 0.035(Distinctive Voice) - 0.058(Glamorous) + 0.054(Unique))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*Variables are the E-Poll Scores*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800"/>
        </a:p>
      </xdr:txBody>
    </xdr:sp>
    <xdr:clientData/>
  </xdr:twoCellAnchor>
  <xdr:twoCellAnchor>
    <xdr:from>
      <xdr:col>0</xdr:col>
      <xdr:colOff>167641</xdr:colOff>
      <xdr:row>23</xdr:row>
      <xdr:rowOff>114301</xdr:rowOff>
    </xdr:from>
    <xdr:to>
      <xdr:col>10</xdr:col>
      <xdr:colOff>1186405</xdr:colOff>
      <xdr:row>27</xdr:row>
      <xdr:rowOff>18144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2F8844A-37D0-4A17-95B5-ED799818975B}"/>
            </a:ext>
            <a:ext uri="{147F2762-F138-4A5C-976F-8EAC2B608ADB}">
              <a16:predDERef xmlns:a16="http://schemas.microsoft.com/office/drawing/2014/main" pred="{BD1F7D3E-ACFB-4D73-8CD7-DE93ACDEDC49}"/>
            </a:ext>
          </a:extLst>
        </xdr:cNvPr>
        <xdr:cNvSpPr txBox="1"/>
      </xdr:nvSpPr>
      <xdr:spPr>
        <a:xfrm>
          <a:off x="167641" y="4493390"/>
          <a:ext cx="13461549" cy="6754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ln(Monthly Rate)</a:t>
          </a:r>
          <a:r>
            <a:rPr lang="en-US" sz="1800" baseline="0"/>
            <a:t> = e^(11.224 - 0.088(Fan) + 0.149(Activist) + 0.087(Classy) + 0.042(Funny) - 0.098(Interesting) - 0.045(Sincere) + 0.189(Unique))</a:t>
          </a:r>
        </a:p>
        <a:p>
          <a:r>
            <a:rPr lang="en-US" sz="1800" baseline="0"/>
            <a:t>*Variables are the E-Poll Scores*</a:t>
          </a:r>
        </a:p>
        <a:p>
          <a:endParaRPr lang="en-US" sz="18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eam Member" id="{7386E4AE-CDC6-41D4-92CD-ACB5C32F7BEA}" userId="000000000000000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" dT="2026-04-18T16:35:13.98" personId="{7386E4AE-CDC6-41D4-92CD-ACB5C32F7BEA}" id="{4166B485-9517-42A7-BF8A-E1F84361E297}">
    <text>Fill in yellow boxes with corresponding E-Poll score for any celebrity along with the length of the deal</text>
  </threadedComment>
  <threadedComment ref="C32" dT="2026-04-18T16:35:32.79" personId="{7386E4AE-CDC6-41D4-92CD-ACB5C32F7BEA}" id="{D2C6BC9B-415B-49F6-8A34-36737A9A181A}">
    <text>Fill in yellow boxes with corresponding E-Poll score for any celebrity along with the length of the deal</text>
  </threadedComment>
  <threadedComment ref="B52" dT="2026-04-20T13:04:49.93" personId="{7386E4AE-CDC6-41D4-92CD-ACB5C32F7BEA}" id="{5F8F0CB8-DEE5-463C-B1DA-03CCD0118B28}">
    <text>Enter the quantity amounts for a celebrity deal</text>
  </threadedComment>
  <threadedComment ref="D61" dT="2026-04-20T13:04:05.95" personId="{7386E4AE-CDC6-41D4-92CD-ACB5C32F7BEA}" id="{EB3BDF12-F284-4D16-861C-7AB310DD807C}">
    <text>Enter the regression predicted total from one of the two calculators above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B2F9F-EE9E-4AC6-A3B8-1F6532D7212C}">
  <dimension ref="A1:CP46"/>
  <sheetViews>
    <sheetView zoomScale="65" workbookViewId="0">
      <selection activeCell="I5" sqref="I5"/>
    </sheetView>
  </sheetViews>
  <sheetFormatPr defaultRowHeight="14.45"/>
  <cols>
    <col min="1" max="1" width="16.5703125" customWidth="1"/>
    <col min="2" max="2" width="17" bestFit="1" customWidth="1"/>
    <col min="3" max="3" width="22.28515625" customWidth="1"/>
    <col min="4" max="4" width="15" bestFit="1" customWidth="1"/>
    <col min="5" max="5" width="13.140625" bestFit="1" customWidth="1"/>
    <col min="6" max="6" width="13.85546875" bestFit="1" customWidth="1"/>
    <col min="7" max="7" width="19.28515625" bestFit="1" customWidth="1"/>
    <col min="8" max="8" width="27.85546875" customWidth="1"/>
    <col min="9" max="9" width="25.85546875" customWidth="1"/>
    <col min="10" max="10" width="25.140625" bestFit="1" customWidth="1"/>
    <col min="11" max="11" width="22.5703125" bestFit="1" customWidth="1"/>
    <col min="12" max="12" width="25.140625" bestFit="1" customWidth="1"/>
    <col min="13" max="13" width="28.7109375" bestFit="1" customWidth="1"/>
    <col min="14" max="14" width="11" bestFit="1" customWidth="1"/>
    <col min="15" max="15" width="17.85546875" bestFit="1" customWidth="1"/>
    <col min="16" max="16" width="16" bestFit="1" customWidth="1"/>
    <col min="17" max="17" width="23.28515625" bestFit="1" customWidth="1"/>
    <col min="18" max="18" width="18.140625" bestFit="1" customWidth="1"/>
    <col min="19" max="19" width="18.140625" customWidth="1"/>
    <col min="20" max="20" width="18.28515625" customWidth="1"/>
    <col min="21" max="21" width="22.5703125" bestFit="1" customWidth="1"/>
    <col min="22" max="22" width="16.85546875" bestFit="1" customWidth="1"/>
    <col min="23" max="23" width="22.85546875" bestFit="1" customWidth="1"/>
    <col min="24" max="24" width="18.140625" bestFit="1" customWidth="1"/>
    <col min="25" max="25" width="23.5703125" bestFit="1" customWidth="1"/>
    <col min="26" max="26" width="7.5703125" bestFit="1" customWidth="1"/>
    <col min="27" max="27" width="17.28515625" bestFit="1" customWidth="1"/>
    <col min="28" max="28" width="21.42578125" bestFit="1" customWidth="1"/>
    <col min="29" max="29" width="19.140625" bestFit="1" customWidth="1"/>
    <col min="30" max="30" width="11.7109375" customWidth="1"/>
    <col min="31" max="31" width="19" bestFit="1" customWidth="1"/>
    <col min="32" max="32" width="15.7109375" bestFit="1" customWidth="1"/>
    <col min="33" max="34" width="16.7109375" bestFit="1" customWidth="1"/>
    <col min="35" max="35" width="30.7109375" bestFit="1" customWidth="1"/>
    <col min="36" max="36" width="15.140625" bestFit="1" customWidth="1"/>
    <col min="37" max="37" width="9.7109375" bestFit="1" customWidth="1"/>
    <col min="38" max="38" width="5.28515625" bestFit="1" customWidth="1"/>
    <col min="39" max="39" width="14.7109375" bestFit="1" customWidth="1"/>
    <col min="40" max="40" width="17.5703125" bestFit="1" customWidth="1"/>
    <col min="41" max="41" width="7.42578125" bestFit="1" customWidth="1"/>
    <col min="42" max="42" width="21.42578125" customWidth="1"/>
    <col min="43" max="43" width="20.28515625" bestFit="1" customWidth="1"/>
    <col min="44" max="44" width="38.7109375" bestFit="1" customWidth="1"/>
    <col min="45" max="45" width="46.85546875" bestFit="1" customWidth="1"/>
    <col min="46" max="46" width="30.140625" bestFit="1" customWidth="1"/>
    <col min="47" max="47" width="34.85546875" bestFit="1" customWidth="1"/>
    <col min="48" max="48" width="23.7109375" bestFit="1" customWidth="1"/>
    <col min="49" max="49" width="33.85546875" bestFit="1" customWidth="1"/>
    <col min="50" max="50" width="29" bestFit="1" customWidth="1"/>
    <col min="51" max="51" width="44.7109375" bestFit="1" customWidth="1"/>
    <col min="52" max="52" width="4.140625" bestFit="1" customWidth="1"/>
    <col min="53" max="53" width="7.7109375" bestFit="1" customWidth="1"/>
    <col min="54" max="54" width="16.28515625" customWidth="1"/>
    <col min="55" max="55" width="24.85546875" bestFit="1" customWidth="1"/>
    <col min="56" max="56" width="9.140625" bestFit="1" customWidth="1"/>
    <col min="57" max="57" width="29.140625" bestFit="1" customWidth="1"/>
    <col min="58" max="58" width="7.7109375" bestFit="1" customWidth="1"/>
    <col min="59" max="59" width="10.7109375" bestFit="1" customWidth="1"/>
    <col min="60" max="60" width="9.28515625" bestFit="1" customWidth="1"/>
    <col min="61" max="61" width="13.42578125" bestFit="1" customWidth="1"/>
    <col min="62" max="63" width="9.7109375" bestFit="1" customWidth="1"/>
    <col min="64" max="64" width="9.140625" bestFit="1" customWidth="1"/>
    <col min="65" max="65" width="11.5703125" customWidth="1"/>
    <col min="66" max="66" width="16.85546875" bestFit="1" customWidth="1"/>
    <col min="67" max="67" width="9.7109375" bestFit="1" customWidth="1"/>
    <col min="68" max="68" width="7" bestFit="1" customWidth="1"/>
    <col min="69" max="69" width="5.28515625" bestFit="1" customWidth="1"/>
    <col min="70" max="70" width="15.28515625" bestFit="1" customWidth="1"/>
    <col min="71" max="71" width="10.140625" bestFit="1" customWidth="1"/>
    <col min="72" max="72" width="19.85546875" customWidth="1"/>
    <col min="73" max="73" width="5.42578125" bestFit="1" customWidth="1"/>
    <col min="74" max="74" width="16.42578125" bestFit="1" customWidth="1"/>
    <col min="75" max="75" width="23" bestFit="1" customWidth="1"/>
    <col min="76" max="76" width="8.85546875" bestFit="1" customWidth="1"/>
    <col min="77" max="77" width="8.140625" bestFit="1" customWidth="1"/>
    <col min="78" max="78" width="12.28515625" bestFit="1" customWidth="1"/>
    <col min="79" max="79" width="5.140625" bestFit="1" customWidth="1"/>
    <col min="80" max="80" width="6.42578125" bestFit="1" customWidth="1"/>
    <col min="81" max="81" width="12.42578125" bestFit="1" customWidth="1"/>
    <col min="82" max="82" width="10.28515625" bestFit="1" customWidth="1"/>
    <col min="83" max="83" width="17.7109375" bestFit="1" customWidth="1"/>
    <col min="84" max="84" width="12.28515625" bestFit="1" customWidth="1"/>
    <col min="85" max="85" width="10.28515625" bestFit="1" customWidth="1"/>
    <col min="86" max="86" width="10.85546875" bestFit="1" customWidth="1"/>
    <col min="87" max="87" width="13.85546875" bestFit="1" customWidth="1"/>
    <col min="88" max="88" width="12.7109375" bestFit="1" customWidth="1"/>
    <col min="89" max="89" width="15.7109375" bestFit="1" customWidth="1"/>
    <col min="90" max="90" width="5.28515625" bestFit="1" customWidth="1"/>
    <col min="91" max="91" width="7.85546875" bestFit="1" customWidth="1"/>
    <col min="92" max="92" width="7.140625" bestFit="1" customWidth="1"/>
    <col min="93" max="93" width="10.42578125" customWidth="1"/>
    <col min="94" max="94" width="12.42578125" bestFit="1" customWidth="1"/>
  </cols>
  <sheetData>
    <row r="1" spans="1:94" ht="31.9" thickBot="1">
      <c r="K1" s="82" t="s">
        <v>0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39"/>
      <c r="Z1" s="39"/>
      <c r="AA1" s="70"/>
      <c r="AB1" s="81" t="s">
        <v>1</v>
      </c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  <c r="CE1" s="81"/>
      <c r="CF1" s="81"/>
      <c r="CG1" s="81"/>
      <c r="CH1" s="81"/>
      <c r="CI1" s="81"/>
      <c r="CJ1" s="81"/>
      <c r="CK1" s="81"/>
      <c r="CL1" s="81"/>
      <c r="CM1" s="81"/>
      <c r="CN1" s="81"/>
      <c r="CO1" s="81"/>
      <c r="CP1" s="81"/>
    </row>
    <row r="2" spans="1:94" ht="15" thickBot="1">
      <c r="A2" s="7" t="s">
        <v>2</v>
      </c>
      <c r="B2" s="7" t="s">
        <v>3</v>
      </c>
      <c r="C2" s="7" t="s">
        <v>4</v>
      </c>
      <c r="D2" s="1" t="s">
        <v>5</v>
      </c>
      <c r="E2" s="1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29" t="s">
        <v>11</v>
      </c>
      <c r="K2" s="1" t="s">
        <v>12</v>
      </c>
      <c r="L2" s="9" t="s">
        <v>13</v>
      </c>
      <c r="M2" s="1" t="s">
        <v>14</v>
      </c>
      <c r="N2" s="9" t="s">
        <v>15</v>
      </c>
      <c r="O2" s="1" t="s">
        <v>16</v>
      </c>
      <c r="P2" s="9" t="s">
        <v>17</v>
      </c>
      <c r="Q2" s="1" t="s">
        <v>18</v>
      </c>
      <c r="R2" s="9" t="s">
        <v>19</v>
      </c>
      <c r="S2" s="1" t="s">
        <v>20</v>
      </c>
      <c r="T2" s="9" t="s">
        <v>21</v>
      </c>
      <c r="U2" s="1" t="s">
        <v>22</v>
      </c>
      <c r="V2" s="9" t="s">
        <v>23</v>
      </c>
      <c r="W2" s="1" t="s">
        <v>24</v>
      </c>
      <c r="X2" s="9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34" t="s">
        <v>50</v>
      </c>
      <c r="AX2" s="7" t="s">
        <v>51</v>
      </c>
      <c r="AY2" s="1" t="s">
        <v>52</v>
      </c>
      <c r="AZ2" s="1" t="s">
        <v>53</v>
      </c>
      <c r="BA2" s="7" t="s">
        <v>54</v>
      </c>
      <c r="BB2" s="33" t="s">
        <v>55</v>
      </c>
      <c r="BC2" s="34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1" t="s">
        <v>64</v>
      </c>
      <c r="BL2" s="1" t="s">
        <v>65</v>
      </c>
      <c r="BM2" s="34" t="s">
        <v>66</v>
      </c>
      <c r="BN2" s="1" t="s">
        <v>67</v>
      </c>
      <c r="BO2" s="1" t="s">
        <v>68</v>
      </c>
      <c r="BP2" s="7" t="s">
        <v>69</v>
      </c>
      <c r="BQ2" s="1" t="s">
        <v>70</v>
      </c>
      <c r="BR2" s="1" t="s">
        <v>71</v>
      </c>
      <c r="BS2" s="1" t="s">
        <v>72</v>
      </c>
      <c r="BT2" s="40" t="s">
        <v>73</v>
      </c>
      <c r="BU2" s="1" t="s">
        <v>74</v>
      </c>
      <c r="BV2" s="1" t="s">
        <v>75</v>
      </c>
      <c r="BW2" s="1" t="s">
        <v>76</v>
      </c>
      <c r="BX2" s="1" t="s">
        <v>77</v>
      </c>
      <c r="BY2" s="34" t="s">
        <v>78</v>
      </c>
      <c r="BZ2" s="33" t="s">
        <v>79</v>
      </c>
      <c r="CA2" s="7" t="s">
        <v>80</v>
      </c>
      <c r="CB2" s="7" t="s">
        <v>81</v>
      </c>
      <c r="CC2" s="1" t="s">
        <v>82</v>
      </c>
      <c r="CD2" s="1" t="s">
        <v>83</v>
      </c>
      <c r="CE2" s="34" t="s">
        <v>84</v>
      </c>
      <c r="CF2" s="1" t="s">
        <v>85</v>
      </c>
      <c r="CG2" s="7" t="s">
        <v>86</v>
      </c>
      <c r="CH2" s="1" t="s">
        <v>87</v>
      </c>
      <c r="CI2" s="1" t="s">
        <v>88</v>
      </c>
      <c r="CJ2" s="34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35" t="s">
        <v>94</v>
      </c>
      <c r="CP2" s="1" t="s">
        <v>95</v>
      </c>
    </row>
    <row r="3" spans="1:94">
      <c r="A3" s="3">
        <v>363670</v>
      </c>
      <c r="B3" s="5">
        <v>10</v>
      </c>
      <c r="C3" s="4">
        <v>40</v>
      </c>
      <c r="D3" s="5" t="s">
        <v>96</v>
      </c>
      <c r="E3" s="5" t="s">
        <v>97</v>
      </c>
      <c r="F3" s="5">
        <f t="shared" ref="F3:F36" si="0">(0.5*AC3)+(0.3*Z3)+(0.2*AA3)</f>
        <v>51.5</v>
      </c>
      <c r="G3" s="5" t="str" cm="1">
        <f t="array" ref="G3">_xlfn.IFS(F3&lt;24.9,"B List",F3&lt;45,"Supporting",F3&gt;=45,"A List")</f>
        <v>A List</v>
      </c>
      <c r="H3" s="46">
        <f t="shared" ref="H3:H36" si="1">(K3*L3)+(M3*N3)+(O3*P3)+(Q3*R3)+(S3*T3)+(U3*V3)+(W3*X3)</f>
        <v>3100000</v>
      </c>
      <c r="I3" s="47">
        <f t="shared" ref="I3:I36" si="2">H3/B3</f>
        <v>310000</v>
      </c>
      <c r="J3" s="28">
        <f t="shared" ref="J3:J36" si="3">LN(I3)</f>
        <v>12.644327576461329</v>
      </c>
      <c r="K3" s="5">
        <v>1</v>
      </c>
      <c r="L3" s="48" cm="1">
        <f t="array" ref="L3">_xlfn.IFS(G3="A List",_xlfn.XLOOKUP(E3,$B$39:$F$39,$B$40:$F$40),G3="Supporting",_xlfn.XLOOKUP(E3,$I$39:$M$39,$I$40:$M$40),G3="B List",_xlfn.XLOOKUP(E3,$P$39:$T$39,$P$40:$T$40))</f>
        <v>2500000</v>
      </c>
      <c r="M3" s="3">
        <v>2</v>
      </c>
      <c r="N3" s="12" cm="1">
        <f t="array" ref="N3">_xlfn.IFS(G3="A List",_xlfn.XLOOKUP(E3,$B$39:$F$39,$B$43:$F$43),G3="Supporting",_xlfn.XLOOKUP(E3,$I$39:$M$39,$I$43:$M$43),G3="B List",_xlfn.XLOOKUP(E3,$P$39:$T$39,$P$43:$T$43))</f>
        <v>300000</v>
      </c>
      <c r="O3" s="3">
        <v>0</v>
      </c>
      <c r="P3" s="12" cm="1">
        <f t="array" ref="P3">_xlfn.IFS(G3="A List",_xlfn.XLOOKUP(E3,$B$39:$F$39,$B$45:$F$45),G3="Supporting",_xlfn.XLOOKUP(E3,$I$39:$M$39,$I$45:$M$45),G3="B List",_xlfn.XLOOKUP(E3,$P$39:$T$39,$P$45:$T$45))</f>
        <v>70000</v>
      </c>
      <c r="Q3" s="3">
        <v>0</v>
      </c>
      <c r="R3" s="12" cm="1">
        <f t="array" ref="R3">_xlfn.IFS(G3="A List",_xlfn.XLOOKUP(E3,$B$39:$F$39,$B$44:$F$44),G3="Supporting",_xlfn.XLOOKUP(E3,$I$39:$M$39,$I$44:$M$44),G3="B List",_xlfn.XLOOKUP(E3,$P$39:$T$39,$P$44:$T$44))</f>
        <v>150000</v>
      </c>
      <c r="S3" s="3">
        <v>0</v>
      </c>
      <c r="T3" s="12" cm="1">
        <f t="array" ref="T3">_xlfn.IFS(G3="A List",_xlfn.XLOOKUP(E3,$B$39:$F$39,$B$41:$F$41),G3="Supporting",_xlfn.XLOOKUP(E3,$I$39:$M$39,$I$41:$M$41),G3="B List",_xlfn.XLOOKUP(E3,$P$39:$T$39,$P$41:$T$41))</f>
        <v>0</v>
      </c>
      <c r="U3" s="3">
        <v>0</v>
      </c>
      <c r="V3" s="12" cm="1">
        <f t="array" ref="V3">_xlfn.IFS(G3="A List",_xlfn.XLOOKUP(E3,$B$39:$F$39,$B$42:$F$42),G3="Supporting",_xlfn.XLOOKUP(E3,$I$39:$M$39,$I$42:$M$42),G3="B List",_xlfn.XLOOKUP(E3,$P$39:$T$39,$P$42:$T$42))</f>
        <v>0</v>
      </c>
      <c r="W3" s="3">
        <v>0</v>
      </c>
      <c r="X3" s="49" cm="1">
        <f t="array" ref="X3">_xlfn.IFS(G3="A List",_xlfn.XLOOKUP(E3,$B$39:$F$39,$B$46:$F$46),G3="Supporting",_xlfn.XLOOKUP(E3,$I$39:$M$39,$I$46:$M$46),G3="B List",_xlfn.XLOOKUP(E3,$P$39:$T$39,$P$46:$T$46))</f>
        <v>0</v>
      </c>
      <c r="Y3" s="3">
        <v>99</v>
      </c>
      <c r="Z3" s="3">
        <v>61</v>
      </c>
      <c r="AA3" s="3">
        <v>66</v>
      </c>
      <c r="AB3" s="3">
        <v>47</v>
      </c>
      <c r="AC3" s="3">
        <v>40</v>
      </c>
      <c r="AD3" s="3">
        <v>34</v>
      </c>
      <c r="AE3" s="3">
        <v>46</v>
      </c>
      <c r="AF3" s="3">
        <v>94</v>
      </c>
      <c r="AG3" s="3">
        <v>64</v>
      </c>
      <c r="AH3" s="3">
        <v>31</v>
      </c>
      <c r="AI3" s="3">
        <v>33</v>
      </c>
      <c r="AJ3" s="3">
        <v>30</v>
      </c>
      <c r="AK3" s="3">
        <v>4</v>
      </c>
      <c r="AL3" s="3">
        <v>1</v>
      </c>
      <c r="AM3" s="3">
        <v>1</v>
      </c>
      <c r="AN3" s="3">
        <v>2</v>
      </c>
      <c r="AO3" s="3">
        <v>6</v>
      </c>
      <c r="AP3" s="3">
        <v>32</v>
      </c>
      <c r="AQ3" s="3">
        <v>14</v>
      </c>
      <c r="AR3" s="3">
        <v>18</v>
      </c>
      <c r="AS3" s="3">
        <v>66</v>
      </c>
      <c r="AT3" s="3">
        <v>1</v>
      </c>
      <c r="AU3" s="3">
        <v>1</v>
      </c>
      <c r="AV3" s="3">
        <v>2</v>
      </c>
      <c r="AW3" s="3">
        <v>41</v>
      </c>
      <c r="AX3" s="3">
        <v>51</v>
      </c>
      <c r="AY3" s="3">
        <v>8</v>
      </c>
      <c r="AZ3" s="3">
        <v>21</v>
      </c>
      <c r="BA3" s="3">
        <v>15</v>
      </c>
      <c r="BB3" s="3">
        <v>12</v>
      </c>
      <c r="BC3" s="3">
        <v>3</v>
      </c>
      <c r="BD3" s="3">
        <v>4</v>
      </c>
      <c r="BE3" s="3">
        <v>1</v>
      </c>
      <c r="BF3" s="3">
        <v>11</v>
      </c>
      <c r="BG3" s="3">
        <v>14</v>
      </c>
      <c r="BH3" s="3">
        <v>4</v>
      </c>
      <c r="BI3" s="3">
        <v>2</v>
      </c>
      <c r="BJ3" s="3">
        <v>2</v>
      </c>
      <c r="BK3" s="3">
        <v>6</v>
      </c>
      <c r="BL3" s="3">
        <v>10</v>
      </c>
      <c r="BM3" s="3">
        <v>15</v>
      </c>
      <c r="BN3" s="3">
        <v>6</v>
      </c>
      <c r="BO3" s="3">
        <v>8</v>
      </c>
      <c r="BP3" s="3">
        <v>24</v>
      </c>
      <c r="BQ3" s="3">
        <v>22</v>
      </c>
      <c r="BR3" s="3">
        <v>17</v>
      </c>
      <c r="BS3" s="3">
        <v>1</v>
      </c>
      <c r="BT3" s="3">
        <v>30</v>
      </c>
      <c r="BU3" s="3">
        <v>16</v>
      </c>
      <c r="BV3" s="3">
        <v>10</v>
      </c>
      <c r="BW3" s="3">
        <v>35</v>
      </c>
      <c r="BX3" s="3">
        <v>1</v>
      </c>
      <c r="BY3" s="3">
        <v>13</v>
      </c>
      <c r="BZ3" s="3">
        <v>3</v>
      </c>
      <c r="CA3" s="3">
        <v>19</v>
      </c>
      <c r="CB3" s="3">
        <v>10</v>
      </c>
      <c r="CC3" s="3">
        <v>8</v>
      </c>
      <c r="CD3" s="3">
        <v>18</v>
      </c>
      <c r="CE3" s="3">
        <v>22</v>
      </c>
      <c r="CF3" s="3">
        <v>1</v>
      </c>
      <c r="CG3" s="3">
        <v>5</v>
      </c>
      <c r="CH3" s="3">
        <v>13</v>
      </c>
      <c r="CI3" s="3">
        <v>3</v>
      </c>
      <c r="CJ3" s="3">
        <v>9</v>
      </c>
      <c r="CK3" s="3">
        <v>9</v>
      </c>
      <c r="CL3" s="3">
        <v>54</v>
      </c>
      <c r="CM3" s="3">
        <v>5</v>
      </c>
      <c r="CN3" s="3">
        <v>8</v>
      </c>
      <c r="CO3" s="3">
        <v>20</v>
      </c>
      <c r="CP3" s="3">
        <v>21</v>
      </c>
    </row>
    <row r="4" spans="1:94" ht="15" customHeight="1">
      <c r="A4" s="3">
        <v>103507</v>
      </c>
      <c r="B4" s="24">
        <v>24</v>
      </c>
      <c r="C4" s="25">
        <v>170</v>
      </c>
      <c r="D4" s="2" t="s">
        <v>96</v>
      </c>
      <c r="E4" s="2" t="s">
        <v>98</v>
      </c>
      <c r="F4" s="5">
        <f t="shared" si="0"/>
        <v>49.999999999999993</v>
      </c>
      <c r="G4" s="5" t="str" cm="1">
        <f t="array" ref="G4">_xlfn.IFS(F4&lt;24.9,"B List",F4&lt;45,"Supporting",F4&gt;=45,"A List")</f>
        <v>A List</v>
      </c>
      <c r="H4" s="26">
        <f t="shared" si="1"/>
        <v>3575000</v>
      </c>
      <c r="I4" s="26">
        <f t="shared" si="2"/>
        <v>148958.33333333334</v>
      </c>
      <c r="J4" s="28">
        <f t="shared" si="3"/>
        <v>11.911421903762299</v>
      </c>
      <c r="K4" s="2">
        <v>1</v>
      </c>
      <c r="L4" s="26" cm="1">
        <f t="array" ref="L4">_xlfn.IFS(G4="A List",_xlfn.XLOOKUP(E4,$B$39:$F$39,$B$40:$F$40),G4="Supporting",_xlfn.XLOOKUP(E4,$I$39:$M$39,$I$40:$M$40),G4="B List",_xlfn.XLOOKUP(E4,$P$39:$T$39,$P$40:$T$40))</f>
        <v>2500000</v>
      </c>
      <c r="M4" s="3">
        <v>4</v>
      </c>
      <c r="N4" s="27" cm="1">
        <f t="array" ref="N4">_xlfn.IFS(G4="A List",_xlfn.XLOOKUP(E4,$B$39:$F$39,$B$43:$F$43),G4="Supporting",_xlfn.XLOOKUP(E4,$I$39:$M$39,$I$43:$M$43),G4="B List",_xlfn.XLOOKUP(E4,$P$39:$T$39,$P$43:$T$43))</f>
        <v>225000</v>
      </c>
      <c r="O4" s="3">
        <v>0</v>
      </c>
      <c r="P4" s="27" cm="1">
        <f t="array" ref="P4">_xlfn.IFS(G4="A List",_xlfn.XLOOKUP(E4,$B$39:$F$39,$B$45:$F$45),G4="Supporting",_xlfn.XLOOKUP(E4,$I$39:$M$39,$I$45:$M$45),G4="B List",_xlfn.XLOOKUP(E4,$P$39:$T$39,$P$45:$T$45))</f>
        <v>75000</v>
      </c>
      <c r="Q4" s="3">
        <v>1</v>
      </c>
      <c r="R4" s="27" cm="1">
        <f t="array" ref="R4">_xlfn.IFS(G4="A List",_xlfn.XLOOKUP(E4,$B$39:$F$39,$B$44:$F$44),G4="Supporting",_xlfn.XLOOKUP(E4,$I$39:$M$39,$I$44:$M$44),G4="B List",_xlfn.XLOOKUP(E4,$P$39:$T$39,$P$44:$T$44))</f>
        <v>175000</v>
      </c>
      <c r="S4" s="3">
        <v>0</v>
      </c>
      <c r="T4" s="27" cm="1">
        <f t="array" ref="T4">_xlfn.IFS(G4="A List",_xlfn.XLOOKUP(E4,$B$39:$F$39,$B$41:$F$41),G4="Supporting",_xlfn.XLOOKUP(E4,$I$39:$M$39,$I$41:$M$41),G4="B List",_xlfn.XLOOKUP(E4,$P$39:$T$39,$P$41:$T$41))</f>
        <v>0</v>
      </c>
      <c r="U4" s="3">
        <v>0</v>
      </c>
      <c r="V4" s="27" cm="1">
        <f t="array" ref="V4">_xlfn.IFS(G4="A List",_xlfn.XLOOKUP(E4,$B$39:$F$39,$B$42:$F$42),G4="Supporting",_xlfn.XLOOKUP(E4,$I$39:$M$39,$I$42:$M$42),G4="B List",_xlfn.XLOOKUP(E4,$P$39:$T$39,$P$42:$T$42))</f>
        <v>0</v>
      </c>
      <c r="W4" s="3">
        <v>0</v>
      </c>
      <c r="X4" s="27" cm="1">
        <f t="array" ref="X4">_xlfn.IFS(G4="A List",_xlfn.XLOOKUP(E4,$B$39:$F$39,$B$46:$F$46),G4="Supporting",_xlfn.XLOOKUP(E4,$I$39:$M$39,$I$46:$M$46),G4="B List",_xlfn.XLOOKUP(E4,$P$39:$T$39,$P$46:$T$46))</f>
        <v>400</v>
      </c>
      <c r="Y4" s="3">
        <v>98</v>
      </c>
      <c r="Z4" s="3">
        <v>57</v>
      </c>
      <c r="AA4" s="3">
        <v>62</v>
      </c>
      <c r="AB4" s="3">
        <v>40</v>
      </c>
      <c r="AC4" s="3">
        <v>41</v>
      </c>
      <c r="AD4" s="3">
        <v>52</v>
      </c>
      <c r="AE4" s="3">
        <v>31</v>
      </c>
      <c r="AF4" s="3">
        <v>91</v>
      </c>
      <c r="AG4" s="3">
        <v>60</v>
      </c>
      <c r="AH4" s="3">
        <v>23</v>
      </c>
      <c r="AI4" s="3">
        <v>37</v>
      </c>
      <c r="AJ4" s="3">
        <v>31</v>
      </c>
      <c r="AK4" s="3">
        <v>6</v>
      </c>
      <c r="AL4" s="3">
        <v>2</v>
      </c>
      <c r="AM4" s="3">
        <v>1</v>
      </c>
      <c r="AN4" s="3">
        <v>3</v>
      </c>
      <c r="AO4" s="3">
        <v>9</v>
      </c>
      <c r="AP4" s="3">
        <v>20</v>
      </c>
      <c r="AQ4" s="3">
        <v>9</v>
      </c>
      <c r="AR4" s="3">
        <v>11</v>
      </c>
      <c r="AS4" s="3">
        <v>75</v>
      </c>
      <c r="AT4" s="3">
        <v>2</v>
      </c>
      <c r="AU4" s="3">
        <v>3</v>
      </c>
      <c r="AV4" s="3">
        <v>5</v>
      </c>
      <c r="AW4" s="3">
        <v>38</v>
      </c>
      <c r="AX4" s="3">
        <v>53</v>
      </c>
      <c r="AY4" s="3">
        <v>9</v>
      </c>
      <c r="AZ4" s="3">
        <v>15</v>
      </c>
      <c r="BA4" s="3">
        <v>12</v>
      </c>
      <c r="BB4" s="3">
        <v>7</v>
      </c>
      <c r="BC4" s="3">
        <v>5</v>
      </c>
      <c r="BD4" s="3">
        <v>1</v>
      </c>
      <c r="BE4" s="3">
        <v>3</v>
      </c>
      <c r="BF4" s="3">
        <v>12</v>
      </c>
      <c r="BG4" s="3">
        <v>12</v>
      </c>
      <c r="BH4" s="3">
        <v>15</v>
      </c>
      <c r="BI4" s="3">
        <v>3</v>
      </c>
      <c r="BJ4" s="3">
        <v>3</v>
      </c>
      <c r="BK4" s="3">
        <v>4</v>
      </c>
      <c r="BL4" s="3">
        <v>17</v>
      </c>
      <c r="BM4" s="3">
        <v>12</v>
      </c>
      <c r="BN4" s="3">
        <v>1</v>
      </c>
      <c r="BO4" s="3">
        <v>8</v>
      </c>
      <c r="BP4" s="3">
        <v>30</v>
      </c>
      <c r="BQ4" s="3">
        <v>18</v>
      </c>
      <c r="BR4" s="3">
        <v>14</v>
      </c>
      <c r="BS4" s="3">
        <v>8</v>
      </c>
      <c r="BT4" s="3">
        <v>14</v>
      </c>
      <c r="BU4" s="3">
        <v>13</v>
      </c>
      <c r="BV4" s="3">
        <v>11</v>
      </c>
      <c r="BW4" s="3">
        <v>32</v>
      </c>
      <c r="BX4" s="3">
        <v>2</v>
      </c>
      <c r="BY4" s="3">
        <v>13</v>
      </c>
      <c r="BZ4" s="3">
        <v>5</v>
      </c>
      <c r="CA4" s="3">
        <v>24</v>
      </c>
      <c r="CB4" s="3">
        <v>18</v>
      </c>
      <c r="CC4" s="3">
        <v>8</v>
      </c>
      <c r="CD4" s="3">
        <v>22</v>
      </c>
      <c r="CE4" s="3">
        <v>19</v>
      </c>
      <c r="CF4" s="3">
        <v>4</v>
      </c>
      <c r="CG4" s="3">
        <v>17</v>
      </c>
      <c r="CH4" s="3">
        <v>14</v>
      </c>
      <c r="CI4" s="3">
        <v>7</v>
      </c>
      <c r="CJ4" s="3">
        <v>11</v>
      </c>
      <c r="CK4" s="3">
        <v>8</v>
      </c>
      <c r="CL4" s="3">
        <v>50</v>
      </c>
      <c r="CM4" s="3">
        <v>4</v>
      </c>
      <c r="CN4" s="3">
        <v>8</v>
      </c>
      <c r="CO4" s="3">
        <v>9</v>
      </c>
      <c r="CP4" s="3">
        <v>15</v>
      </c>
    </row>
    <row r="5" spans="1:94">
      <c r="A5" s="8">
        <v>554026</v>
      </c>
      <c r="B5" s="5">
        <v>18</v>
      </c>
      <c r="C5" s="4">
        <v>50</v>
      </c>
      <c r="D5" s="5" t="s">
        <v>96</v>
      </c>
      <c r="E5" s="5" t="s">
        <v>99</v>
      </c>
      <c r="F5" s="5">
        <f t="shared" si="0"/>
        <v>49.7</v>
      </c>
      <c r="G5" s="5" t="str" cm="1">
        <f t="array" ref="G5">_xlfn.IFS(F5&lt;24.9,"B List",F5&lt;45,"Supporting",F5&gt;=45,"A List")</f>
        <v>A List</v>
      </c>
      <c r="H5" s="26">
        <f t="shared" si="1"/>
        <v>8185000</v>
      </c>
      <c r="I5" s="26">
        <f t="shared" si="2"/>
        <v>454722.22222222225</v>
      </c>
      <c r="J5" s="28">
        <f t="shared" si="3"/>
        <v>13.027442010891209</v>
      </c>
      <c r="K5" s="5">
        <v>1</v>
      </c>
      <c r="L5" s="26" cm="1">
        <f t="array" ref="L5">_xlfn.IFS(G5="A List",_xlfn.XLOOKUP(E5,$B$39:$F$39,$B$40:$F$40),G5="Supporting",_xlfn.XLOOKUP(E5,$I$39:$M$39,$I$40:$M$40),G5="B List",_xlfn.XLOOKUP(E5,$P$39:$T$39,$P$40:$T$40))</f>
        <v>2500000</v>
      </c>
      <c r="M5" s="3">
        <v>3</v>
      </c>
      <c r="N5" s="27" cm="1">
        <f t="array" ref="N5">_xlfn.IFS(G5="A List",_xlfn.XLOOKUP(E5,$B$39:$F$39,$B$43:$F$43),G5="Supporting",_xlfn.XLOOKUP(E5,$I$39:$M$39,$I$43:$M$43),G5="B List",_xlfn.XLOOKUP(E5,$P$39:$T$39,$P$43:$T$43))</f>
        <v>250000</v>
      </c>
      <c r="O5" s="3">
        <v>15</v>
      </c>
      <c r="P5" s="27" cm="1">
        <f t="array" ref="P5">_xlfn.IFS(G5="A List",_xlfn.XLOOKUP(E5,$B$39:$F$39,$B$45:$F$45),G5="Supporting",_xlfn.XLOOKUP(E5,$I$39:$M$39,$I$45:$M$45),G5="B List",_xlfn.XLOOKUP(E5,$P$39:$T$39,$P$45:$T$45))</f>
        <v>80000</v>
      </c>
      <c r="Q5" s="3">
        <v>1</v>
      </c>
      <c r="R5" s="27" cm="1">
        <f t="array" ref="R5">_xlfn.IFS(G5="A List",_xlfn.XLOOKUP(E5,$B$39:$F$39,$B$44:$F$44),G5="Supporting",_xlfn.XLOOKUP(E5,$I$39:$M$39,$I$44:$M$44),G5="B List",_xlfn.XLOOKUP(E5,$P$39:$T$39,$P$44:$T$44))</f>
        <v>175000</v>
      </c>
      <c r="S5" s="3">
        <v>1</v>
      </c>
      <c r="T5" s="27" cm="1">
        <f t="array" ref="T5">_xlfn.IFS(G5="A List",_xlfn.XLOOKUP(E5,$B$39:$F$39,$B$41:$F$41),G5="Supporting",_xlfn.XLOOKUP(E5,$I$39:$M$39,$I$41:$M$41),G5="B List",_xlfn.XLOOKUP(E5,$P$39:$T$39,$P$41:$T$41))</f>
        <v>1500000</v>
      </c>
      <c r="U5" s="3">
        <v>2</v>
      </c>
      <c r="V5" s="27" cm="1">
        <f t="array" ref="V5">_xlfn.IFS(G5="A List",_xlfn.XLOOKUP(E5,$B$39:$F$39,$B$42:$F$42),G5="Supporting",_xlfn.XLOOKUP(E5,$I$39:$M$39,$I$42:$M$42),G5="B List",_xlfn.XLOOKUP(E5,$P$39:$T$39,$P$42:$T$42))</f>
        <v>1000000</v>
      </c>
      <c r="W5" s="3">
        <v>200</v>
      </c>
      <c r="X5" s="27" cm="1">
        <f t="array" ref="X5">_xlfn.IFS(G5="A List",_xlfn.XLOOKUP(E5,$B$39:$F$39,$B$46:$F$46),G5="Supporting",_xlfn.XLOOKUP(E5,$I$39:$M$39,$I$46:$M$46),G5="B List",_xlfn.XLOOKUP(E5,$P$39:$T$39,$P$46:$T$46))</f>
        <v>300</v>
      </c>
      <c r="Y5" s="3">
        <v>96</v>
      </c>
      <c r="Z5" s="3">
        <v>59</v>
      </c>
      <c r="AA5" s="3">
        <v>50</v>
      </c>
      <c r="AB5" s="3">
        <v>59</v>
      </c>
      <c r="AC5" s="3">
        <v>44</v>
      </c>
      <c r="AD5" s="3">
        <v>49</v>
      </c>
      <c r="AE5" s="3">
        <v>38</v>
      </c>
      <c r="AF5" s="3">
        <v>81</v>
      </c>
      <c r="AG5" s="3">
        <v>49</v>
      </c>
      <c r="AH5" s="3">
        <v>23</v>
      </c>
      <c r="AI5" s="3">
        <v>25</v>
      </c>
      <c r="AJ5" s="3">
        <v>33</v>
      </c>
      <c r="AK5" s="3">
        <v>11</v>
      </c>
      <c r="AL5" s="3">
        <v>5</v>
      </c>
      <c r="AM5" s="3">
        <v>3</v>
      </c>
      <c r="AN5" s="3">
        <v>8</v>
      </c>
      <c r="AO5" s="3">
        <v>19</v>
      </c>
      <c r="AP5" s="3">
        <v>33</v>
      </c>
      <c r="AQ5" s="3">
        <v>14</v>
      </c>
      <c r="AR5" s="3">
        <v>19</v>
      </c>
      <c r="AS5" s="3">
        <v>54</v>
      </c>
      <c r="AT5" s="3">
        <v>7</v>
      </c>
      <c r="AU5" s="3">
        <v>6</v>
      </c>
      <c r="AV5" s="3">
        <v>13</v>
      </c>
      <c r="AW5" s="3">
        <v>28</v>
      </c>
      <c r="AX5" s="3">
        <v>49</v>
      </c>
      <c r="AY5" s="3">
        <v>23</v>
      </c>
      <c r="AZ5" s="3">
        <v>30</v>
      </c>
      <c r="BA5" s="3">
        <v>22</v>
      </c>
      <c r="BB5" s="3">
        <v>15</v>
      </c>
      <c r="BC5" s="3">
        <v>3</v>
      </c>
      <c r="BD5" s="3">
        <v>4</v>
      </c>
      <c r="BE5" s="3">
        <v>7</v>
      </c>
      <c r="BF5" s="3">
        <v>11</v>
      </c>
      <c r="BG5" s="3">
        <v>6</v>
      </c>
      <c r="BH5" s="3">
        <v>5</v>
      </c>
      <c r="BI5" s="3">
        <v>3</v>
      </c>
      <c r="BJ5" s="3">
        <v>4</v>
      </c>
      <c r="BK5" s="3">
        <v>5</v>
      </c>
      <c r="BL5" s="3">
        <v>9</v>
      </c>
      <c r="BM5" s="3">
        <v>5</v>
      </c>
      <c r="BN5" s="3">
        <v>2</v>
      </c>
      <c r="BO5" s="3">
        <v>10</v>
      </c>
      <c r="BP5" s="3">
        <v>22</v>
      </c>
      <c r="BQ5" s="3">
        <v>28</v>
      </c>
      <c r="BR5" s="3">
        <v>7</v>
      </c>
      <c r="BS5" s="3">
        <v>3</v>
      </c>
      <c r="BT5" s="3">
        <v>27</v>
      </c>
      <c r="BU5" s="3">
        <v>10</v>
      </c>
      <c r="BV5" s="3">
        <v>12</v>
      </c>
      <c r="BW5" s="3">
        <v>14</v>
      </c>
      <c r="BX5" s="3">
        <v>4</v>
      </c>
      <c r="BY5" s="3">
        <v>15</v>
      </c>
      <c r="BZ5" s="3">
        <v>3</v>
      </c>
      <c r="CA5" s="3">
        <v>28</v>
      </c>
      <c r="CB5" s="3">
        <v>17</v>
      </c>
      <c r="CC5" s="3">
        <v>11</v>
      </c>
      <c r="CD5" s="3">
        <v>9</v>
      </c>
      <c r="CE5" s="3">
        <v>20</v>
      </c>
      <c r="CF5" s="3">
        <v>8</v>
      </c>
      <c r="CG5" s="3">
        <v>2</v>
      </c>
      <c r="CH5" s="3">
        <v>14</v>
      </c>
      <c r="CI5" s="3">
        <v>3</v>
      </c>
      <c r="CJ5" s="3">
        <v>8</v>
      </c>
      <c r="CK5" s="3">
        <v>10</v>
      </c>
      <c r="CL5" s="3">
        <v>38</v>
      </c>
      <c r="CM5" s="3">
        <v>11</v>
      </c>
      <c r="CN5" s="3">
        <v>5</v>
      </c>
      <c r="CO5" s="3">
        <v>24</v>
      </c>
      <c r="CP5" s="3">
        <v>11</v>
      </c>
    </row>
    <row r="6" spans="1:94">
      <c r="A6" s="3">
        <v>124932</v>
      </c>
      <c r="B6" s="3">
        <v>12</v>
      </c>
      <c r="C6" s="4">
        <v>100</v>
      </c>
      <c r="D6" s="5" t="s">
        <v>96</v>
      </c>
      <c r="E6" s="5" t="s">
        <v>97</v>
      </c>
      <c r="F6" s="5">
        <f t="shared" si="0"/>
        <v>49.6</v>
      </c>
      <c r="G6" s="5" t="str" cm="1">
        <f t="array" ref="G6">_xlfn.IFS(F6&lt;24.9,"B List",F6&lt;45,"Supporting",F6&gt;=45,"A List")</f>
        <v>A List</v>
      </c>
      <c r="H6" s="26">
        <f t="shared" si="1"/>
        <v>3240000</v>
      </c>
      <c r="I6" s="26">
        <f t="shared" si="2"/>
        <v>270000</v>
      </c>
      <c r="J6" s="28">
        <f t="shared" si="3"/>
        <v>12.506177237980511</v>
      </c>
      <c r="K6" s="5">
        <v>1</v>
      </c>
      <c r="L6" s="26" cm="1">
        <f t="array" ref="L6">_xlfn.IFS(G6="A List",_xlfn.XLOOKUP(E6,$B$39:$F$39,$B$40:$F$40),G6="Supporting",_xlfn.XLOOKUP(E6,$I$39:$M$39,$I$40:$M$40),G6="B List",_xlfn.XLOOKUP(E6,$P$39:$T$39,$P$40:$T$40))</f>
        <v>2500000</v>
      </c>
      <c r="M6" s="3">
        <v>2</v>
      </c>
      <c r="N6" s="27" cm="1">
        <f t="array" ref="N6">_xlfn.IFS(G6="A List",_xlfn.XLOOKUP(E6,$B$39:$F$39,$B$43:$F$43),G6="Supporting",_xlfn.XLOOKUP(E6,$I$39:$M$39,$I$43:$M$43),G6="B List",_xlfn.XLOOKUP(E6,$P$39:$T$39,$P$43:$T$43))</f>
        <v>300000</v>
      </c>
      <c r="O6" s="3">
        <v>2</v>
      </c>
      <c r="P6" s="27" cm="1">
        <f t="array" ref="P6">_xlfn.IFS(G6="A List",_xlfn.XLOOKUP(E6,$B$39:$F$39,$B$45:$F$45),G6="Supporting",_xlfn.XLOOKUP(E6,$I$39:$M$39,$I$45:$M$45),G6="B List",_xlfn.XLOOKUP(E6,$P$39:$T$39,$P$45:$T$45))</f>
        <v>70000</v>
      </c>
      <c r="Q6" s="3">
        <v>0</v>
      </c>
      <c r="R6" s="27" cm="1">
        <f t="array" ref="R6">_xlfn.IFS(G6="A List",_xlfn.XLOOKUP(E6,$B$39:$F$39,$B$44:$F$44),G6="Supporting",_xlfn.XLOOKUP(E6,$I$39:$M$39,$I$44:$M$44),G6="B List",_xlfn.XLOOKUP(E6,$P$39:$T$39,$P$44:$T$44))</f>
        <v>150000</v>
      </c>
      <c r="S6" s="3">
        <v>0</v>
      </c>
      <c r="T6" s="27" cm="1">
        <f t="array" ref="T6">_xlfn.IFS(G6="A List",_xlfn.XLOOKUP(E6,$B$39:$F$39,$B$41:$F$41),G6="Supporting",_xlfn.XLOOKUP(E6,$I$39:$M$39,$I$41:$M$41),G6="B List",_xlfn.XLOOKUP(E6,$P$39:$T$39,$P$41:$T$41))</f>
        <v>0</v>
      </c>
      <c r="U6" s="3">
        <v>0</v>
      </c>
      <c r="V6" s="27" cm="1">
        <f t="array" ref="V6">_xlfn.IFS(G6="A List",_xlfn.XLOOKUP(E6,$B$39:$F$39,$B$42:$F$42),G6="Supporting",_xlfn.XLOOKUP(E6,$I$39:$M$39,$I$42:$M$42),G6="B List",_xlfn.XLOOKUP(E6,$P$39:$T$39,$P$42:$T$42))</f>
        <v>0</v>
      </c>
      <c r="W6" s="3">
        <v>0</v>
      </c>
      <c r="X6" s="27" cm="1">
        <f t="array" ref="X6">_xlfn.IFS(G6="A List",_xlfn.XLOOKUP(E6,$B$39:$F$39,$B$46:$F$46),G6="Supporting",_xlfn.XLOOKUP(E6,$I$39:$M$39,$I$46:$M$46),G6="B List",_xlfn.XLOOKUP(E6,$P$39:$T$39,$P$46:$T$46))</f>
        <v>0</v>
      </c>
      <c r="Y6" s="3">
        <v>99</v>
      </c>
      <c r="Z6" s="3">
        <v>58</v>
      </c>
      <c r="AA6" s="3">
        <v>61</v>
      </c>
      <c r="AB6" s="3">
        <v>38</v>
      </c>
      <c r="AC6" s="3">
        <v>40</v>
      </c>
      <c r="AD6" s="3">
        <v>44</v>
      </c>
      <c r="AE6" s="3">
        <v>36</v>
      </c>
      <c r="AF6" s="3">
        <v>95</v>
      </c>
      <c r="AG6" s="3">
        <v>67</v>
      </c>
      <c r="AH6" s="3">
        <v>23</v>
      </c>
      <c r="AI6" s="3">
        <v>44</v>
      </c>
      <c r="AJ6" s="3">
        <v>27</v>
      </c>
      <c r="AK6" s="3">
        <v>4</v>
      </c>
      <c r="AL6" s="3">
        <v>1</v>
      </c>
      <c r="AM6" s="3">
        <v>1</v>
      </c>
      <c r="AN6" s="3">
        <v>1</v>
      </c>
      <c r="AO6" s="3">
        <v>5</v>
      </c>
      <c r="AP6" s="3">
        <v>24</v>
      </c>
      <c r="AQ6" s="3">
        <v>9</v>
      </c>
      <c r="AR6" s="3">
        <v>15</v>
      </c>
      <c r="AS6" s="3">
        <v>75</v>
      </c>
      <c r="AT6" s="3">
        <v>1</v>
      </c>
      <c r="AU6" s="3">
        <v>1</v>
      </c>
      <c r="AV6" s="3">
        <v>2</v>
      </c>
      <c r="AW6" s="3">
        <v>37</v>
      </c>
      <c r="AX6" s="3">
        <v>57</v>
      </c>
      <c r="AY6" s="3">
        <v>6</v>
      </c>
      <c r="AZ6" s="3">
        <v>15</v>
      </c>
      <c r="BA6" s="3">
        <v>10</v>
      </c>
      <c r="BB6" s="3">
        <v>7</v>
      </c>
      <c r="BC6" s="3">
        <v>1</v>
      </c>
      <c r="BD6" s="3">
        <v>1</v>
      </c>
      <c r="BE6" s="3">
        <v>1</v>
      </c>
      <c r="BF6" s="3">
        <v>13</v>
      </c>
      <c r="BG6" s="3">
        <v>10</v>
      </c>
      <c r="BH6" s="3">
        <v>14</v>
      </c>
      <c r="BI6" s="3">
        <v>1</v>
      </c>
      <c r="BJ6" s="3">
        <v>1</v>
      </c>
      <c r="BK6" s="3">
        <v>5</v>
      </c>
      <c r="BL6" s="3">
        <v>18</v>
      </c>
      <c r="BM6" s="3">
        <v>16</v>
      </c>
      <c r="BN6" s="3">
        <v>2</v>
      </c>
      <c r="BO6" s="3">
        <v>4</v>
      </c>
      <c r="BP6" s="3">
        <v>28</v>
      </c>
      <c r="BQ6" s="3">
        <v>23</v>
      </c>
      <c r="BR6" s="3">
        <v>14</v>
      </c>
      <c r="BS6" s="3">
        <v>5</v>
      </c>
      <c r="BT6" s="3">
        <v>18</v>
      </c>
      <c r="BU6" s="3">
        <v>11</v>
      </c>
      <c r="BV6" s="3">
        <v>11</v>
      </c>
      <c r="BW6" s="3">
        <v>38</v>
      </c>
      <c r="BX6" s="3">
        <v>2</v>
      </c>
      <c r="BY6" s="3">
        <v>16</v>
      </c>
      <c r="BZ6" s="3">
        <v>4</v>
      </c>
      <c r="CA6" s="3">
        <v>24</v>
      </c>
      <c r="CB6" s="3">
        <v>11</v>
      </c>
      <c r="CC6" s="3">
        <v>7</v>
      </c>
      <c r="CD6" s="3">
        <v>13</v>
      </c>
      <c r="CE6" s="3">
        <v>20</v>
      </c>
      <c r="CF6" s="3">
        <v>2</v>
      </c>
      <c r="CG6" s="3">
        <v>6</v>
      </c>
      <c r="CH6" s="3">
        <v>17</v>
      </c>
      <c r="CI6" s="3">
        <v>8</v>
      </c>
      <c r="CJ6" s="3">
        <v>10</v>
      </c>
      <c r="CK6" s="3">
        <v>7</v>
      </c>
      <c r="CL6" s="3">
        <v>49</v>
      </c>
      <c r="CM6" s="3">
        <v>5</v>
      </c>
      <c r="CN6" s="3">
        <v>10</v>
      </c>
      <c r="CO6" s="3">
        <v>11</v>
      </c>
      <c r="CP6" s="3">
        <v>16</v>
      </c>
    </row>
    <row r="7" spans="1:94">
      <c r="A7" s="3">
        <v>245103</v>
      </c>
      <c r="B7" s="5">
        <v>36</v>
      </c>
      <c r="C7" s="4">
        <v>250</v>
      </c>
      <c r="D7" s="5" t="s">
        <v>96</v>
      </c>
      <c r="E7" s="5" t="s">
        <v>98</v>
      </c>
      <c r="F7" s="5">
        <f t="shared" si="0"/>
        <v>49.6</v>
      </c>
      <c r="G7" s="5" t="str" cm="1">
        <f t="array" ref="G7">_xlfn.IFS(F7&lt;24.9,"B List",F7&lt;45,"Supporting",F7&gt;=45,"A List")</f>
        <v>A List</v>
      </c>
      <c r="H7" s="26">
        <f t="shared" si="1"/>
        <v>3650000</v>
      </c>
      <c r="I7" s="26">
        <f t="shared" si="2"/>
        <v>101388.88888888889</v>
      </c>
      <c r="J7" s="28">
        <f t="shared" si="3"/>
        <v>11.526718787102563</v>
      </c>
      <c r="K7" s="5">
        <v>1</v>
      </c>
      <c r="L7" s="26" cm="1">
        <f t="array" ref="L7">_xlfn.IFS(G7="A List",_xlfn.XLOOKUP(E7,$B$39:$F$39,$B$40:$F$40),G7="Supporting",_xlfn.XLOOKUP(E7,$I$39:$M$39,$I$40:$M$40),G7="B List",_xlfn.XLOOKUP(E7,$P$39:$T$39,$P$40:$T$40))</f>
        <v>2500000</v>
      </c>
      <c r="M7" s="3">
        <v>2</v>
      </c>
      <c r="N7" s="27" cm="1">
        <f t="array" ref="N7">_xlfn.IFS(G7="A List",_xlfn.XLOOKUP(E7,$B$39:$F$39,$B$43:$F$43),G7="Supporting",_xlfn.XLOOKUP(E7,$I$39:$M$39,$I$43:$M$43),G7="B List",_xlfn.XLOOKUP(E7,$P$39:$T$39,$P$43:$T$43))</f>
        <v>225000</v>
      </c>
      <c r="O7" s="3">
        <v>0</v>
      </c>
      <c r="P7" s="27" cm="1">
        <f t="array" ref="P7">_xlfn.IFS(G7="A List",_xlfn.XLOOKUP(E7,$B$39:$F$39,$B$45:$F$45),G7="Supporting",_xlfn.XLOOKUP(E7,$I$39:$M$39,$I$45:$M$45),G7="B List",_xlfn.XLOOKUP(E7,$P$39:$T$39,$P$45:$T$45))</f>
        <v>75000</v>
      </c>
      <c r="Q7" s="3">
        <v>4</v>
      </c>
      <c r="R7" s="27" cm="1">
        <f t="array" ref="R7">_xlfn.IFS(G7="A List",_xlfn.XLOOKUP(E7,$B$39:$F$39,$B$44:$F$44),G7="Supporting",_xlfn.XLOOKUP(E7,$I$39:$M$39,$I$44:$M$44),G7="B List",_xlfn.XLOOKUP(E7,$P$39:$T$39,$P$44:$T$44))</f>
        <v>175000</v>
      </c>
      <c r="S7" s="3">
        <v>0</v>
      </c>
      <c r="T7" s="27" cm="1">
        <f t="array" ref="T7">_xlfn.IFS(G7="A List",_xlfn.XLOOKUP(E7,$B$39:$F$39,$B$41:$F$41),G7="Supporting",_xlfn.XLOOKUP(E7,$I$39:$M$39,$I$41:$M$41),G7="B List",_xlfn.XLOOKUP(E7,$P$39:$T$39,$P$41:$T$41))</f>
        <v>0</v>
      </c>
      <c r="U7" s="3">
        <v>0</v>
      </c>
      <c r="V7" s="27" cm="1">
        <f t="array" ref="V7">_xlfn.IFS(G7="A List",_xlfn.XLOOKUP(E7,$B$39:$F$39,$B$42:$F$42),G7="Supporting",_xlfn.XLOOKUP(E7,$I$39:$M$39,$I$42:$M$42),G7="B List",_xlfn.XLOOKUP(E7,$P$39:$T$39,$P$42:$T$42))</f>
        <v>0</v>
      </c>
      <c r="W7" s="3">
        <v>0</v>
      </c>
      <c r="X7" s="27" cm="1">
        <f t="array" ref="X7">_xlfn.IFS(G7="A List",_xlfn.XLOOKUP(E7,$B$39:$F$39,$B$46:$F$46),G7="Supporting",_xlfn.XLOOKUP(E7,$I$39:$M$39,$I$46:$M$46),G7="B List",_xlfn.XLOOKUP(E7,$P$39:$T$39,$P$46:$T$46))</f>
        <v>400</v>
      </c>
      <c r="Y7" s="3">
        <v>98</v>
      </c>
      <c r="Z7" s="3">
        <v>58</v>
      </c>
      <c r="AA7" s="3">
        <v>51</v>
      </c>
      <c r="AB7" s="3">
        <v>47</v>
      </c>
      <c r="AC7" s="3">
        <v>44</v>
      </c>
      <c r="AD7" s="3">
        <v>49</v>
      </c>
      <c r="AE7" s="3">
        <v>40</v>
      </c>
      <c r="AF7" s="3">
        <v>86</v>
      </c>
      <c r="AG7" s="3">
        <v>51</v>
      </c>
      <c r="AH7" s="3">
        <v>19</v>
      </c>
      <c r="AI7" s="3">
        <v>32</v>
      </c>
      <c r="AJ7" s="3">
        <v>35</v>
      </c>
      <c r="AK7" s="3">
        <v>9</v>
      </c>
      <c r="AL7" s="3">
        <v>2</v>
      </c>
      <c r="AM7" s="3">
        <v>2</v>
      </c>
      <c r="AN7" s="3">
        <v>4</v>
      </c>
      <c r="AO7" s="3">
        <v>14</v>
      </c>
      <c r="AP7" s="3">
        <v>24</v>
      </c>
      <c r="AQ7" s="3">
        <v>10</v>
      </c>
      <c r="AR7" s="3">
        <v>15</v>
      </c>
      <c r="AS7" s="3">
        <v>69</v>
      </c>
      <c r="AT7" s="3">
        <v>3</v>
      </c>
      <c r="AU7" s="3">
        <v>3</v>
      </c>
      <c r="AV7" s="3">
        <v>6</v>
      </c>
      <c r="AW7" s="3">
        <v>29</v>
      </c>
      <c r="AX7" s="3">
        <v>56</v>
      </c>
      <c r="AY7" s="3">
        <v>15</v>
      </c>
      <c r="AZ7" s="3">
        <v>18</v>
      </c>
      <c r="BA7" s="3">
        <v>11</v>
      </c>
      <c r="BB7" s="3">
        <v>10</v>
      </c>
      <c r="BC7" s="3">
        <v>2</v>
      </c>
      <c r="BD7" s="3">
        <v>2</v>
      </c>
      <c r="BE7" s="3">
        <v>5</v>
      </c>
      <c r="BF7" s="3">
        <v>11</v>
      </c>
      <c r="BG7" s="3">
        <v>7</v>
      </c>
      <c r="BH7" s="3">
        <v>4</v>
      </c>
      <c r="BI7" s="3">
        <v>2</v>
      </c>
      <c r="BJ7" s="3">
        <v>4</v>
      </c>
      <c r="BK7" s="3">
        <v>5</v>
      </c>
      <c r="BL7" s="3">
        <v>9</v>
      </c>
      <c r="BM7" s="3">
        <v>9</v>
      </c>
      <c r="BN7" s="3">
        <v>1</v>
      </c>
      <c r="BO7" s="3">
        <v>7</v>
      </c>
      <c r="BP7" s="3">
        <v>28</v>
      </c>
      <c r="BQ7" s="3">
        <v>16</v>
      </c>
      <c r="BR7" s="3">
        <v>15</v>
      </c>
      <c r="BS7" s="3">
        <v>2</v>
      </c>
      <c r="BT7" s="3">
        <v>19</v>
      </c>
      <c r="BU7" s="3">
        <v>9</v>
      </c>
      <c r="BV7" s="3">
        <v>11</v>
      </c>
      <c r="BW7" s="3">
        <v>30</v>
      </c>
      <c r="BX7" s="3">
        <v>4</v>
      </c>
      <c r="BY7" s="3">
        <v>21</v>
      </c>
      <c r="BZ7" s="3">
        <v>2</v>
      </c>
      <c r="CA7" s="3">
        <v>23</v>
      </c>
      <c r="CB7" s="3">
        <v>18</v>
      </c>
      <c r="CC7" s="3">
        <v>12</v>
      </c>
      <c r="CD7" s="3">
        <v>16</v>
      </c>
      <c r="CE7" s="3">
        <v>12</v>
      </c>
      <c r="CF7" s="3">
        <v>10</v>
      </c>
      <c r="CG7" s="3">
        <v>30</v>
      </c>
      <c r="CH7" s="3">
        <v>15</v>
      </c>
      <c r="CI7" s="3">
        <v>2</v>
      </c>
      <c r="CJ7" s="3">
        <v>9</v>
      </c>
      <c r="CK7" s="3">
        <v>3</v>
      </c>
      <c r="CL7" s="3">
        <v>39</v>
      </c>
      <c r="CM7" s="3">
        <v>6</v>
      </c>
      <c r="CN7" s="3">
        <v>9</v>
      </c>
      <c r="CO7" s="3">
        <v>9</v>
      </c>
      <c r="CP7" s="3">
        <v>7</v>
      </c>
    </row>
    <row r="8" spans="1:94">
      <c r="A8" s="3">
        <v>697021</v>
      </c>
      <c r="B8" s="3">
        <v>11</v>
      </c>
      <c r="C8" s="4">
        <v>30</v>
      </c>
      <c r="D8" s="5" t="s">
        <v>96</v>
      </c>
      <c r="E8" s="5" t="s">
        <v>99</v>
      </c>
      <c r="F8" s="5">
        <f t="shared" si="0"/>
        <v>45.2</v>
      </c>
      <c r="G8" s="5" t="str" cm="1">
        <f t="array" ref="G8">_xlfn.IFS(F8&lt;24.9,"B List",F8&lt;45,"Supporting",F8&gt;=45,"A List")</f>
        <v>A List</v>
      </c>
      <c r="H8" s="26">
        <f t="shared" si="1"/>
        <v>1255000</v>
      </c>
      <c r="I8" s="26">
        <f t="shared" si="2"/>
        <v>114090.90909090909</v>
      </c>
      <c r="J8" s="28">
        <f t="shared" si="3"/>
        <v>11.644750857749651</v>
      </c>
      <c r="K8" s="5">
        <v>0</v>
      </c>
      <c r="L8" s="26" cm="1">
        <f t="array" ref="L8">_xlfn.IFS(G8="A List",_xlfn.XLOOKUP(E8,$B$39:$F$39,$B$40:$F$40),G8="Supporting",_xlfn.XLOOKUP(E8,$I$39:$M$39,$I$40:$M$40),G8="B List",_xlfn.XLOOKUP(E8,$P$39:$T$39,$P$40:$T$40))</f>
        <v>2500000</v>
      </c>
      <c r="M8" s="3">
        <v>1</v>
      </c>
      <c r="N8" s="27" cm="1">
        <f t="array" ref="N8">_xlfn.IFS(G8="A List",_xlfn.XLOOKUP(E8,$B$39:$F$39,$B$43:$F$43),G8="Supporting",_xlfn.XLOOKUP(E8,$I$39:$M$39,$I$43:$M$43),G8="B List",_xlfn.XLOOKUP(E8,$P$39:$T$39,$P$43:$T$43))</f>
        <v>250000</v>
      </c>
      <c r="O8" s="3">
        <v>6</v>
      </c>
      <c r="P8" s="27" cm="1">
        <f t="array" ref="P8">_xlfn.IFS(G8="A List",_xlfn.XLOOKUP(E8,$B$39:$F$39,$B$45:$F$45),G8="Supporting",_xlfn.XLOOKUP(E8,$I$39:$M$39,$I$45:$M$45),G8="B List",_xlfn.XLOOKUP(E8,$P$39:$T$39,$P$45:$T$45))</f>
        <v>80000</v>
      </c>
      <c r="Q8" s="3">
        <v>3</v>
      </c>
      <c r="R8" s="27" cm="1">
        <f t="array" ref="R8">_xlfn.IFS(G8="A List",_xlfn.XLOOKUP(E8,$B$39:$F$39,$B$44:$F$44),G8="Supporting",_xlfn.XLOOKUP(E8,$I$39:$M$39,$I$44:$M$44),G8="B List",_xlfn.XLOOKUP(E8,$P$39:$T$39,$P$44:$T$44))</f>
        <v>175000</v>
      </c>
      <c r="S8" s="3">
        <v>0</v>
      </c>
      <c r="T8" s="27" cm="1">
        <f t="array" ref="T8">_xlfn.IFS(G8="A List",_xlfn.XLOOKUP(E8,$B$39:$F$39,$B$41:$F$41),G8="Supporting",_xlfn.XLOOKUP(E8,$I$39:$M$39,$I$41:$M$41),G8="B List",_xlfn.XLOOKUP(E8,$P$39:$T$39,$P$41:$T$41))</f>
        <v>1500000</v>
      </c>
      <c r="U8" s="3">
        <v>0</v>
      </c>
      <c r="V8" s="27" cm="1">
        <f t="array" ref="V8">_xlfn.IFS(G8="A List",_xlfn.XLOOKUP(E8,$B$39:$F$39,$B$42:$F$42),G8="Supporting",_xlfn.XLOOKUP(E8,$I$39:$M$39,$I$42:$M$42),G8="B List",_xlfn.XLOOKUP(E8,$P$39:$T$39,$P$42:$T$42))</f>
        <v>1000000</v>
      </c>
      <c r="W8" s="3">
        <v>0</v>
      </c>
      <c r="X8" s="27" cm="1">
        <f t="array" ref="X8">_xlfn.IFS(G8="A List",_xlfn.XLOOKUP(E8,$B$39:$F$39,$B$46:$F$46),G8="Supporting",_xlfn.XLOOKUP(E8,$I$39:$M$39,$I$46:$M$46),G8="B List",_xlfn.XLOOKUP(E8,$P$39:$T$39,$P$46:$T$46))</f>
        <v>300</v>
      </c>
      <c r="Y8" s="3">
        <v>95</v>
      </c>
      <c r="Z8" s="3">
        <v>55</v>
      </c>
      <c r="AA8" s="3">
        <v>56</v>
      </c>
      <c r="AB8" s="3">
        <v>55</v>
      </c>
      <c r="AC8" s="3">
        <v>35</v>
      </c>
      <c r="AD8" s="3">
        <v>39</v>
      </c>
      <c r="AE8" s="3">
        <v>32</v>
      </c>
      <c r="AF8" s="3">
        <v>83</v>
      </c>
      <c r="AG8" s="3">
        <v>51</v>
      </c>
      <c r="AH8" s="3">
        <v>22</v>
      </c>
      <c r="AI8" s="3">
        <v>29</v>
      </c>
      <c r="AJ8" s="3">
        <v>32</v>
      </c>
      <c r="AK8" s="3">
        <v>11</v>
      </c>
      <c r="AL8" s="3">
        <v>3</v>
      </c>
      <c r="AM8" s="3">
        <v>2</v>
      </c>
      <c r="AN8" s="3">
        <v>6</v>
      </c>
      <c r="AO8" s="3">
        <v>17</v>
      </c>
      <c r="AP8" s="3">
        <v>31</v>
      </c>
      <c r="AQ8" s="3">
        <v>15</v>
      </c>
      <c r="AR8" s="3">
        <v>15</v>
      </c>
      <c r="AS8" s="3">
        <v>63</v>
      </c>
      <c r="AT8" s="3">
        <v>4</v>
      </c>
      <c r="AU8" s="3">
        <v>3</v>
      </c>
      <c r="AV8" s="3">
        <v>7</v>
      </c>
      <c r="AW8" s="3">
        <v>34</v>
      </c>
      <c r="AX8" s="3">
        <v>50</v>
      </c>
      <c r="AY8" s="3">
        <v>17</v>
      </c>
      <c r="AZ8" s="3">
        <v>28</v>
      </c>
      <c r="BA8" s="3">
        <v>21</v>
      </c>
      <c r="BB8" s="3">
        <v>13</v>
      </c>
      <c r="BC8" s="3">
        <v>4</v>
      </c>
      <c r="BD8" s="3">
        <v>3</v>
      </c>
      <c r="BE8" s="3">
        <v>4</v>
      </c>
      <c r="BF8" s="3">
        <v>10</v>
      </c>
      <c r="BG8" s="3">
        <v>8</v>
      </c>
      <c r="BH8" s="3">
        <v>7</v>
      </c>
      <c r="BI8" s="3">
        <v>2</v>
      </c>
      <c r="BJ8" s="3">
        <v>2</v>
      </c>
      <c r="BK8" s="3">
        <v>5</v>
      </c>
      <c r="BL8" s="3">
        <v>10</v>
      </c>
      <c r="BM8" s="3">
        <v>6</v>
      </c>
      <c r="BN8" s="3">
        <v>3</v>
      </c>
      <c r="BO8" s="3">
        <v>4</v>
      </c>
      <c r="BP8" s="3">
        <v>22</v>
      </c>
      <c r="BQ8" s="3">
        <v>26</v>
      </c>
      <c r="BR8" s="3">
        <v>8</v>
      </c>
      <c r="BS8" s="3">
        <v>5</v>
      </c>
      <c r="BT8" s="3">
        <v>26</v>
      </c>
      <c r="BU8" s="3">
        <v>14</v>
      </c>
      <c r="BV8" s="3">
        <v>13</v>
      </c>
      <c r="BW8" s="3">
        <v>22</v>
      </c>
      <c r="BX8" s="3">
        <v>3</v>
      </c>
      <c r="BY8" s="3">
        <v>21</v>
      </c>
      <c r="BZ8" s="3">
        <v>6</v>
      </c>
      <c r="CA8" s="3">
        <v>25</v>
      </c>
      <c r="CB8" s="3">
        <v>14</v>
      </c>
      <c r="CC8" s="3">
        <v>9</v>
      </c>
      <c r="CD8" s="3">
        <v>13</v>
      </c>
      <c r="CE8" s="3">
        <v>13</v>
      </c>
      <c r="CF8" s="3">
        <v>4</v>
      </c>
      <c r="CG8" s="3">
        <v>7</v>
      </c>
      <c r="CH8" s="3">
        <v>11</v>
      </c>
      <c r="CI8" s="3">
        <v>4</v>
      </c>
      <c r="CJ8" s="3">
        <v>8</v>
      </c>
      <c r="CK8" s="3">
        <v>16</v>
      </c>
      <c r="CL8" s="3">
        <v>36</v>
      </c>
      <c r="CM8" s="3">
        <v>11</v>
      </c>
      <c r="CN8" s="3">
        <v>7</v>
      </c>
      <c r="CO8" s="3">
        <v>16</v>
      </c>
      <c r="CP8" s="3">
        <v>10</v>
      </c>
    </row>
    <row r="9" spans="1:94">
      <c r="A9" s="8">
        <v>159642</v>
      </c>
      <c r="B9" s="5">
        <v>12</v>
      </c>
      <c r="C9" s="4">
        <v>100</v>
      </c>
      <c r="D9" s="5" t="s">
        <v>96</v>
      </c>
      <c r="E9" s="5" t="s">
        <v>98</v>
      </c>
      <c r="F9" s="5">
        <f t="shared" si="0"/>
        <v>44.7</v>
      </c>
      <c r="G9" s="5" t="str" cm="1">
        <f t="array" ref="G9">_xlfn.IFS(F9&lt;24.9,"B List",F9&lt;45,"Supporting",F9&gt;=45,"A List")</f>
        <v>Supporting</v>
      </c>
      <c r="H9" s="26">
        <f t="shared" si="1"/>
        <v>370000</v>
      </c>
      <c r="I9" s="26">
        <f t="shared" si="2"/>
        <v>30833.333333333332</v>
      </c>
      <c r="J9" s="28">
        <f t="shared" si="3"/>
        <v>10.336351634832408</v>
      </c>
      <c r="K9" s="5">
        <v>0</v>
      </c>
      <c r="L9" s="26" cm="1">
        <f t="array" ref="L9">_xlfn.IFS(G9="A List",_xlfn.XLOOKUP(E9,$B$39:$F$39,$B$40:$F$40),G9="Supporting",_xlfn.XLOOKUP(E9,$I$39:$M$39,$I$40:$M$40),G9="B List",_xlfn.XLOOKUP(E9,$P$39:$T$39,$P$40:$T$40))</f>
        <v>1000000</v>
      </c>
      <c r="M9" s="3">
        <v>1</v>
      </c>
      <c r="N9" s="27" cm="1">
        <f t="array" ref="N9">_xlfn.IFS(G9="A List",_xlfn.XLOOKUP(E9,$B$39:$F$39,$B$43:$F$43),G9="Supporting",_xlfn.XLOOKUP(E9,$I$39:$M$39,$I$43:$M$43),G9="B List",_xlfn.XLOOKUP(E9,$P$39:$T$39,$P$43:$T$43))</f>
        <v>85000</v>
      </c>
      <c r="O9" s="3">
        <v>5</v>
      </c>
      <c r="P9" s="27" cm="1">
        <f t="array" ref="P9">_xlfn.IFS(G9="A List",_xlfn.XLOOKUP(E9,$B$39:$F$39,$B$45:$F$45),G9="Supporting",_xlfn.XLOOKUP(E9,$I$39:$M$39,$I$45:$M$45),G9="B List",_xlfn.XLOOKUP(E9,$P$39:$T$39,$P$45:$T$45))</f>
        <v>35000</v>
      </c>
      <c r="Q9" s="3">
        <v>2</v>
      </c>
      <c r="R9" s="27" cm="1">
        <f t="array" ref="R9">_xlfn.IFS(G9="A List",_xlfn.XLOOKUP(E9,$B$39:$F$39,$B$44:$F$44),G9="Supporting",_xlfn.XLOOKUP(E9,$I$39:$M$39,$I$44:$M$44),G9="B List",_xlfn.XLOOKUP(E9,$P$39:$T$39,$P$44:$T$44))</f>
        <v>55000</v>
      </c>
      <c r="S9" s="3">
        <v>0</v>
      </c>
      <c r="T9" s="27" cm="1">
        <f t="array" ref="T9">_xlfn.IFS(G9="A List",_xlfn.XLOOKUP(E9,$B$39:$F$39,$B$41:$F$41),G9="Supporting",_xlfn.XLOOKUP(E9,$I$39:$M$39,$I$41:$M$41),G9="B List",_xlfn.XLOOKUP(E9,$P$39:$T$39,$P$41:$T$41))</f>
        <v>0</v>
      </c>
      <c r="U9" s="3">
        <v>0</v>
      </c>
      <c r="V9" s="27" cm="1">
        <f t="array" ref="V9">_xlfn.IFS(G9="A List",_xlfn.XLOOKUP(E9,$B$39:$F$39,$B$42:$F$42),G9="Supporting",_xlfn.XLOOKUP(E9,$I$39:$M$39,$I$42:$M$42),G9="B List",_xlfn.XLOOKUP(E9,$P$39:$T$39,$P$42:$T$42))</f>
        <v>0</v>
      </c>
      <c r="W9" s="3">
        <v>0</v>
      </c>
      <c r="X9" s="27" cm="1">
        <f t="array" ref="X9">_xlfn.IFS(G9="A List",_xlfn.XLOOKUP(E9,$B$39:$F$39,$B$46:$F$46),G9="Supporting",_xlfn.XLOOKUP(E9,$I$39:$M$39,$I$46:$M$46),G9="B List",_xlfn.XLOOKUP(E9,$P$39:$T$39,$P$46:$T$46))</f>
        <v>150</v>
      </c>
      <c r="Y9" s="3">
        <v>85</v>
      </c>
      <c r="Z9" s="3">
        <v>47</v>
      </c>
      <c r="AA9" s="3">
        <v>43</v>
      </c>
      <c r="AB9" s="3">
        <v>48</v>
      </c>
      <c r="AC9" s="3">
        <v>44</v>
      </c>
      <c r="AD9" s="3">
        <v>46</v>
      </c>
      <c r="AE9" s="3">
        <v>42</v>
      </c>
      <c r="AF9" s="3">
        <v>66</v>
      </c>
      <c r="AG9" s="3">
        <v>37</v>
      </c>
      <c r="AH9" s="3">
        <v>14</v>
      </c>
      <c r="AI9" s="3">
        <v>23</v>
      </c>
      <c r="AJ9" s="3">
        <v>29</v>
      </c>
      <c r="AK9" s="3">
        <v>17</v>
      </c>
      <c r="AL9" s="3">
        <v>7</v>
      </c>
      <c r="AM9" s="3">
        <v>10</v>
      </c>
      <c r="AN9" s="3">
        <v>18</v>
      </c>
      <c r="AO9" s="3">
        <v>34</v>
      </c>
      <c r="AP9" s="3">
        <v>20</v>
      </c>
      <c r="AQ9" s="3">
        <v>9</v>
      </c>
      <c r="AR9" s="3">
        <v>11</v>
      </c>
      <c r="AS9" s="3">
        <v>61</v>
      </c>
      <c r="AT9" s="3">
        <v>8</v>
      </c>
      <c r="AU9" s="3">
        <v>11</v>
      </c>
      <c r="AV9" s="3">
        <v>19</v>
      </c>
      <c r="AW9" s="3">
        <v>23</v>
      </c>
      <c r="AX9" s="3">
        <v>44</v>
      </c>
      <c r="AY9" s="3">
        <v>33</v>
      </c>
      <c r="AZ9" s="3">
        <v>17</v>
      </c>
      <c r="BA9" s="3">
        <v>11</v>
      </c>
      <c r="BB9" s="3">
        <v>8</v>
      </c>
      <c r="BC9" s="3">
        <v>1</v>
      </c>
      <c r="BD9" s="3">
        <v>5</v>
      </c>
      <c r="BE9" s="3">
        <v>17</v>
      </c>
      <c r="BF9" s="3">
        <v>7</v>
      </c>
      <c r="BG9" s="3">
        <v>5</v>
      </c>
      <c r="BH9" s="3">
        <v>6</v>
      </c>
      <c r="BI9" s="3">
        <v>2</v>
      </c>
      <c r="BJ9" s="3">
        <v>6</v>
      </c>
      <c r="BK9" s="3">
        <v>4</v>
      </c>
      <c r="BL9" s="3">
        <v>7</v>
      </c>
      <c r="BM9" s="3">
        <v>8</v>
      </c>
      <c r="BN9" s="3">
        <v>3</v>
      </c>
      <c r="BO9" s="3">
        <v>8</v>
      </c>
      <c r="BP9" s="3">
        <v>28</v>
      </c>
      <c r="BQ9" s="3">
        <v>17</v>
      </c>
      <c r="BR9" s="3">
        <v>10</v>
      </c>
      <c r="BS9" s="3">
        <v>4</v>
      </c>
      <c r="BT9" s="3">
        <v>17</v>
      </c>
      <c r="BU9" s="3">
        <v>11</v>
      </c>
      <c r="BV9" s="3">
        <v>12</v>
      </c>
      <c r="BW9" s="3">
        <v>25</v>
      </c>
      <c r="BX9" s="3">
        <v>9</v>
      </c>
      <c r="BY9" s="3">
        <v>6</v>
      </c>
      <c r="BZ9" s="3">
        <v>2</v>
      </c>
      <c r="CA9" s="3">
        <v>22</v>
      </c>
      <c r="CB9" s="3">
        <v>16</v>
      </c>
      <c r="CC9" s="3">
        <v>10</v>
      </c>
      <c r="CD9" s="3">
        <v>11</v>
      </c>
      <c r="CE9" s="3">
        <v>12</v>
      </c>
      <c r="CF9" s="3">
        <v>21</v>
      </c>
      <c r="CG9" s="3">
        <v>38</v>
      </c>
      <c r="CH9" s="3">
        <v>10</v>
      </c>
      <c r="CI9" s="3">
        <v>4</v>
      </c>
      <c r="CJ9" s="3">
        <v>6</v>
      </c>
      <c r="CK9" s="3">
        <v>5</v>
      </c>
      <c r="CL9" s="3">
        <v>47</v>
      </c>
      <c r="CM9" s="3">
        <v>7</v>
      </c>
      <c r="CN9" s="3">
        <v>5</v>
      </c>
      <c r="CO9" s="3">
        <v>10</v>
      </c>
      <c r="CP9" s="3">
        <v>8</v>
      </c>
    </row>
    <row r="10" spans="1:94">
      <c r="A10" s="8">
        <v>965832</v>
      </c>
      <c r="B10" s="5">
        <v>9</v>
      </c>
      <c r="C10" s="4">
        <v>40</v>
      </c>
      <c r="D10" s="5" t="s">
        <v>96</v>
      </c>
      <c r="E10" s="5" t="s">
        <v>97</v>
      </c>
      <c r="F10" s="5">
        <f t="shared" si="0"/>
        <v>41.1</v>
      </c>
      <c r="G10" s="5" t="str" cm="1">
        <f t="array" ref="G10">_xlfn.IFS(F10&lt;24.9,"B List",F10&lt;45,"Supporting",F10&gt;=45,"A List")</f>
        <v>Supporting</v>
      </c>
      <c r="H10" s="26">
        <f t="shared" si="1"/>
        <v>355000</v>
      </c>
      <c r="I10" s="26">
        <f t="shared" si="2"/>
        <v>39444.444444444445</v>
      </c>
      <c r="J10" s="28">
        <f t="shared" si="3"/>
        <v>10.582648491121333</v>
      </c>
      <c r="K10" s="5">
        <v>0</v>
      </c>
      <c r="L10" s="26" cm="1">
        <f t="array" ref="L10">_xlfn.IFS(G10="A List",_xlfn.XLOOKUP(E10,$B$39:$F$39,$B$40:$F$40),G10="Supporting",_xlfn.XLOOKUP(E10,$I$39:$M$39,$I$40:$M$40),G10="B List",_xlfn.XLOOKUP(E10,$P$39:$T$39,$P$40:$T$40))</f>
        <v>1000000</v>
      </c>
      <c r="M10" s="3">
        <v>2</v>
      </c>
      <c r="N10" s="27" cm="1">
        <f t="array" ref="N10">_xlfn.IFS(G10="A List",_xlfn.XLOOKUP(E10,$B$39:$F$39,$B$43:$F$43),G10="Supporting",_xlfn.XLOOKUP(E10,$I$39:$M$39,$I$43:$M$43),G10="B List",_xlfn.XLOOKUP(E10,$P$39:$T$39,$P$43:$T$43))</f>
        <v>125000</v>
      </c>
      <c r="O10" s="3">
        <v>3</v>
      </c>
      <c r="P10" s="27" cm="1">
        <f t="array" ref="P10">_xlfn.IFS(G10="A List",_xlfn.XLOOKUP(E10,$B$39:$F$39,$B$45:$F$45),G10="Supporting",_xlfn.XLOOKUP(E10,$I$39:$M$39,$I$45:$M$45),G10="B List",_xlfn.XLOOKUP(E10,$P$39:$T$39,$P$45:$T$45))</f>
        <v>35000</v>
      </c>
      <c r="Q10" s="3">
        <v>0</v>
      </c>
      <c r="R10" s="27" cm="1">
        <f t="array" ref="R10">_xlfn.IFS(G10="A List",_xlfn.XLOOKUP(E10,$B$39:$F$39,$B$44:$F$44),G10="Supporting",_xlfn.XLOOKUP(E10,$I$39:$M$39,$I$44:$M$44),G10="B List",_xlfn.XLOOKUP(E10,$P$39:$T$39,$P$44:$T$44))</f>
        <v>50000</v>
      </c>
      <c r="S10" s="3">
        <v>0</v>
      </c>
      <c r="T10" s="27" cm="1">
        <f t="array" ref="T10">_xlfn.IFS(G10="A List",_xlfn.XLOOKUP(E10,$B$39:$F$39,$B$41:$F$41),G10="Supporting",_xlfn.XLOOKUP(E10,$I$39:$M$39,$I$41:$M$41),G10="B List",_xlfn.XLOOKUP(E10,$P$39:$T$39,$P$41:$T$41))</f>
        <v>0</v>
      </c>
      <c r="U10" s="3">
        <v>0</v>
      </c>
      <c r="V10" s="27" cm="1">
        <f t="array" ref="V10">_xlfn.IFS(G10="A List",_xlfn.XLOOKUP(E10,$B$39:$F$39,$B$42:$F$42),G10="Supporting",_xlfn.XLOOKUP(E10,$I$39:$M$39,$I$42:$M$42),G10="B List",_xlfn.XLOOKUP(E10,$P$39:$T$39,$P$42:$T$42))</f>
        <v>0</v>
      </c>
      <c r="W10" s="3">
        <v>0</v>
      </c>
      <c r="X10" s="27" cm="1">
        <f t="array" ref="X10">_xlfn.IFS(G10="A List",_xlfn.XLOOKUP(E10,$B$39:$F$39,$B$46:$F$46),G10="Supporting",_xlfn.XLOOKUP(E10,$I$39:$M$39,$I$46:$M$46),G10="B List",_xlfn.XLOOKUP(E10,$P$39:$T$39,$P$46:$T$46))</f>
        <v>0</v>
      </c>
      <c r="Y10" s="3">
        <v>88</v>
      </c>
      <c r="Z10" s="3">
        <v>49</v>
      </c>
      <c r="AA10" s="3">
        <v>47</v>
      </c>
      <c r="AB10" s="3">
        <v>50</v>
      </c>
      <c r="AC10" s="3">
        <v>34</v>
      </c>
      <c r="AD10" s="3">
        <v>36</v>
      </c>
      <c r="AE10" s="3">
        <v>32</v>
      </c>
      <c r="AF10" s="3">
        <v>73</v>
      </c>
      <c r="AG10" s="3">
        <v>46</v>
      </c>
      <c r="AH10" s="3">
        <v>22</v>
      </c>
      <c r="AI10" s="3">
        <v>24</v>
      </c>
      <c r="AJ10" s="3">
        <v>27</v>
      </c>
      <c r="AK10" s="3">
        <v>13</v>
      </c>
      <c r="AL10" s="3">
        <v>7</v>
      </c>
      <c r="AM10" s="3">
        <v>8</v>
      </c>
      <c r="AN10" s="3">
        <v>15</v>
      </c>
      <c r="AO10" s="3">
        <v>27</v>
      </c>
      <c r="AP10" s="3">
        <v>31</v>
      </c>
      <c r="AQ10" s="3">
        <v>15</v>
      </c>
      <c r="AR10" s="3">
        <v>16</v>
      </c>
      <c r="AS10" s="3">
        <v>50</v>
      </c>
      <c r="AT10" s="3">
        <v>8</v>
      </c>
      <c r="AU10" s="3">
        <v>11</v>
      </c>
      <c r="AV10" s="3">
        <v>19</v>
      </c>
      <c r="AW10" s="3">
        <v>29</v>
      </c>
      <c r="AX10" s="3">
        <v>42</v>
      </c>
      <c r="AY10" s="3">
        <v>28</v>
      </c>
      <c r="AZ10" s="3">
        <v>25</v>
      </c>
      <c r="BA10" s="3">
        <v>18</v>
      </c>
      <c r="BB10" s="3">
        <v>14</v>
      </c>
      <c r="BC10" s="3">
        <v>3</v>
      </c>
      <c r="BD10" s="3">
        <v>2</v>
      </c>
      <c r="BE10" s="3">
        <v>15</v>
      </c>
      <c r="BF10" s="3">
        <v>6</v>
      </c>
      <c r="BG10" s="3">
        <v>6</v>
      </c>
      <c r="BH10" s="3">
        <v>39</v>
      </c>
      <c r="BI10" s="3">
        <v>35</v>
      </c>
      <c r="BJ10" s="3">
        <v>9</v>
      </c>
      <c r="BK10" s="3">
        <v>2</v>
      </c>
      <c r="BL10" s="3">
        <v>13</v>
      </c>
      <c r="BM10" s="3">
        <v>11</v>
      </c>
      <c r="BN10" s="3">
        <v>5</v>
      </c>
      <c r="BO10" s="3">
        <v>6</v>
      </c>
      <c r="BP10" s="3">
        <v>26</v>
      </c>
      <c r="BQ10" s="3">
        <v>12</v>
      </c>
      <c r="BR10" s="3">
        <v>6</v>
      </c>
      <c r="BS10" s="3">
        <v>24</v>
      </c>
      <c r="BT10" s="3">
        <v>12</v>
      </c>
      <c r="BU10" s="3">
        <v>7</v>
      </c>
      <c r="BV10" s="3">
        <v>10</v>
      </c>
      <c r="BW10" s="3">
        <v>7</v>
      </c>
      <c r="BX10" s="3">
        <v>14</v>
      </c>
      <c r="BY10" s="3">
        <v>10</v>
      </c>
      <c r="BZ10" s="3">
        <v>20</v>
      </c>
      <c r="CA10" s="3">
        <v>18</v>
      </c>
      <c r="CB10" s="3">
        <v>15</v>
      </c>
      <c r="CC10" s="3">
        <v>8</v>
      </c>
      <c r="CD10" s="3">
        <v>10</v>
      </c>
      <c r="CE10" s="3">
        <v>13</v>
      </c>
      <c r="CF10" s="3">
        <v>19</v>
      </c>
      <c r="CG10" s="3">
        <v>19</v>
      </c>
      <c r="CH10" s="3">
        <v>6</v>
      </c>
      <c r="CI10" s="3">
        <v>35</v>
      </c>
      <c r="CJ10" s="3">
        <v>4</v>
      </c>
      <c r="CK10" s="3">
        <v>17</v>
      </c>
      <c r="CL10" s="3">
        <v>18</v>
      </c>
      <c r="CM10" s="3">
        <v>11</v>
      </c>
      <c r="CN10" s="3">
        <v>6</v>
      </c>
      <c r="CO10" s="3">
        <v>7</v>
      </c>
      <c r="CP10" s="3">
        <v>6</v>
      </c>
    </row>
    <row r="11" spans="1:94">
      <c r="A11" s="3">
        <v>741355</v>
      </c>
      <c r="B11" s="3">
        <v>24</v>
      </c>
      <c r="C11" s="6">
        <v>450</v>
      </c>
      <c r="D11" s="5" t="s">
        <v>100</v>
      </c>
      <c r="E11" s="5" t="s">
        <v>98</v>
      </c>
      <c r="F11" s="5">
        <f t="shared" si="0"/>
        <v>40.700000000000003</v>
      </c>
      <c r="G11" s="5" t="str" cm="1">
        <f t="array" ref="G11">_xlfn.IFS(F11&lt;24.9,"B List",F11&lt;45,"Supporting",F11&gt;=45,"A List")</f>
        <v>Supporting</v>
      </c>
      <c r="H11" s="26">
        <f t="shared" si="1"/>
        <v>1685000</v>
      </c>
      <c r="I11" s="26">
        <f t="shared" si="2"/>
        <v>70208.333333333328</v>
      </c>
      <c r="J11" s="28">
        <f t="shared" si="3"/>
        <v>11.159222291420653</v>
      </c>
      <c r="K11" s="5">
        <v>1</v>
      </c>
      <c r="L11" s="26" cm="1">
        <f t="array" ref="L11">_xlfn.IFS(G11="A List",_xlfn.XLOOKUP(E11,$B$39:$F$39,$B$40:$F$40),G11="Supporting",_xlfn.XLOOKUP(E11,$I$39:$M$39,$I$40:$M$40),G11="B List",_xlfn.XLOOKUP(E11,$P$39:$T$39,$P$40:$T$40))</f>
        <v>1000000</v>
      </c>
      <c r="M11" s="3">
        <v>2</v>
      </c>
      <c r="N11" s="27" cm="1">
        <f t="array" ref="N11">_xlfn.IFS(G11="A List",_xlfn.XLOOKUP(E11,$B$39:$F$39,$B$43:$F$43),G11="Supporting",_xlfn.XLOOKUP(E11,$I$39:$M$39,$I$43:$M$43),G11="B List",_xlfn.XLOOKUP(E11,$P$39:$T$39,$P$43:$T$43))</f>
        <v>85000</v>
      </c>
      <c r="O11" s="3">
        <v>10</v>
      </c>
      <c r="P11" s="27" cm="1">
        <f t="array" ref="P11">_xlfn.IFS(G11="A List",_xlfn.XLOOKUP(E11,$B$39:$F$39,$B$45:$F$45),G11="Supporting",_xlfn.XLOOKUP(E11,$I$39:$M$39,$I$45:$M$45),G11="B List",_xlfn.XLOOKUP(E11,$P$39:$T$39,$P$45:$T$45))</f>
        <v>35000</v>
      </c>
      <c r="Q11" s="3">
        <v>3</v>
      </c>
      <c r="R11" s="27" cm="1">
        <f t="array" ref="R11">_xlfn.IFS(G11="A List",_xlfn.XLOOKUP(E11,$B$39:$F$39,$B$44:$F$44),G11="Supporting",_xlfn.XLOOKUP(E11,$I$39:$M$39,$I$44:$M$44),G11="B List",_xlfn.XLOOKUP(E11,$P$39:$T$39,$P$44:$T$44))</f>
        <v>55000</v>
      </c>
      <c r="S11" s="3">
        <v>0</v>
      </c>
      <c r="T11" s="27" cm="1">
        <f t="array" ref="T11">_xlfn.IFS(G11="A List",_xlfn.XLOOKUP(E11,$B$39:$F$39,$B$41:$F$41),G11="Supporting",_xlfn.XLOOKUP(E11,$I$39:$M$39,$I$41:$M$41),G11="B List",_xlfn.XLOOKUP(E11,$P$39:$T$39,$P$41:$T$41))</f>
        <v>0</v>
      </c>
      <c r="U11" s="3">
        <v>0</v>
      </c>
      <c r="V11" s="27" cm="1">
        <f t="array" ref="V11">_xlfn.IFS(G11="A List",_xlfn.XLOOKUP(E11,$B$39:$F$39,$B$42:$F$42),G11="Supporting",_xlfn.XLOOKUP(E11,$I$39:$M$39,$I$42:$M$42),G11="B List",_xlfn.XLOOKUP(E11,$P$39:$T$39,$P$42:$T$42))</f>
        <v>0</v>
      </c>
      <c r="W11" s="3">
        <v>0</v>
      </c>
      <c r="X11" s="27" cm="1">
        <f t="array" ref="X11">_xlfn.IFS(G11="A List",_xlfn.XLOOKUP(E11,$B$39:$F$39,$B$46:$F$46),G11="Supporting",_xlfn.XLOOKUP(E11,$I$39:$M$39,$I$46:$M$46),G11="B List",_xlfn.XLOOKUP(E11,$P$39:$T$39,$P$46:$T$46))</f>
        <v>150</v>
      </c>
      <c r="Y11" s="3">
        <v>94</v>
      </c>
      <c r="Z11" s="3">
        <v>50</v>
      </c>
      <c r="AA11" s="3">
        <v>46</v>
      </c>
      <c r="AB11" s="3">
        <v>51</v>
      </c>
      <c r="AC11" s="3">
        <v>33</v>
      </c>
      <c r="AD11" s="3">
        <v>39</v>
      </c>
      <c r="AE11" s="3">
        <v>26</v>
      </c>
      <c r="AF11" s="3">
        <v>84</v>
      </c>
      <c r="AG11" s="3">
        <v>40</v>
      </c>
      <c r="AH11" s="3">
        <v>14</v>
      </c>
      <c r="AI11" s="3">
        <v>26</v>
      </c>
      <c r="AJ11" s="3">
        <v>44</v>
      </c>
      <c r="AK11" s="3">
        <v>12</v>
      </c>
      <c r="AL11" s="3">
        <v>4</v>
      </c>
      <c r="AM11" s="3">
        <v>1</v>
      </c>
      <c r="AN11" s="3">
        <v>4</v>
      </c>
      <c r="AO11" s="3">
        <v>16</v>
      </c>
      <c r="AP11" s="3">
        <v>22</v>
      </c>
      <c r="AQ11" s="3">
        <v>10</v>
      </c>
      <c r="AR11" s="3">
        <v>13</v>
      </c>
      <c r="AS11" s="3">
        <v>70</v>
      </c>
      <c r="AT11" s="3">
        <v>4</v>
      </c>
      <c r="AU11" s="3">
        <v>4</v>
      </c>
      <c r="AV11" s="3">
        <v>8</v>
      </c>
      <c r="AW11" s="3">
        <v>24</v>
      </c>
      <c r="AX11" s="3">
        <v>59</v>
      </c>
      <c r="AY11" s="3">
        <v>17</v>
      </c>
      <c r="AZ11" s="3">
        <v>21</v>
      </c>
      <c r="BA11" s="3">
        <v>14</v>
      </c>
      <c r="BB11" s="3">
        <v>11</v>
      </c>
      <c r="BC11" s="3">
        <v>3</v>
      </c>
      <c r="BD11" s="3">
        <v>2</v>
      </c>
      <c r="BE11" s="3">
        <v>4</v>
      </c>
      <c r="BF11" s="3">
        <v>9</v>
      </c>
      <c r="BG11" s="3">
        <v>6</v>
      </c>
      <c r="BH11" s="3">
        <v>21</v>
      </c>
      <c r="BI11" s="3">
        <v>7</v>
      </c>
      <c r="BJ11" s="3">
        <v>4</v>
      </c>
      <c r="BK11" s="3">
        <v>2</v>
      </c>
      <c r="BL11" s="3">
        <v>18</v>
      </c>
      <c r="BM11" s="3">
        <v>17</v>
      </c>
      <c r="BN11" s="3">
        <v>3</v>
      </c>
      <c r="BO11" s="3">
        <v>6</v>
      </c>
      <c r="BP11" s="3">
        <v>25</v>
      </c>
      <c r="BQ11" s="3">
        <v>15</v>
      </c>
      <c r="BR11" s="3">
        <v>7</v>
      </c>
      <c r="BS11" s="3">
        <v>6</v>
      </c>
      <c r="BT11" s="3">
        <v>7</v>
      </c>
      <c r="BU11" s="3">
        <v>9</v>
      </c>
      <c r="BV11" s="3">
        <v>11</v>
      </c>
      <c r="BW11" s="3">
        <v>20</v>
      </c>
      <c r="BX11" s="3">
        <v>4</v>
      </c>
      <c r="BY11" s="3">
        <v>3</v>
      </c>
      <c r="BZ11" s="3">
        <v>10</v>
      </c>
      <c r="CA11" s="3">
        <v>14</v>
      </c>
      <c r="CB11" s="3">
        <v>17</v>
      </c>
      <c r="CC11" s="3">
        <v>11</v>
      </c>
      <c r="CD11" s="3">
        <v>12</v>
      </c>
      <c r="CE11" s="3">
        <v>11</v>
      </c>
      <c r="CF11" s="3">
        <v>7</v>
      </c>
      <c r="CG11" s="3">
        <v>37</v>
      </c>
      <c r="CH11" s="3">
        <v>9</v>
      </c>
      <c r="CI11" s="3">
        <v>11</v>
      </c>
      <c r="CJ11" s="3">
        <v>6</v>
      </c>
      <c r="CK11" s="3">
        <v>18</v>
      </c>
      <c r="CL11" s="3">
        <v>42</v>
      </c>
      <c r="CM11" s="3">
        <v>9</v>
      </c>
      <c r="CN11" s="3">
        <v>6</v>
      </c>
      <c r="CO11" s="3">
        <v>10</v>
      </c>
      <c r="CP11" s="3">
        <v>7</v>
      </c>
    </row>
    <row r="12" spans="1:94">
      <c r="A12" s="3">
        <v>109471</v>
      </c>
      <c r="B12" s="5">
        <v>10</v>
      </c>
      <c r="C12" s="4">
        <v>10</v>
      </c>
      <c r="D12" s="5" t="s">
        <v>96</v>
      </c>
      <c r="E12" s="5" t="s">
        <v>97</v>
      </c>
      <c r="F12" s="5">
        <f t="shared" si="0"/>
        <v>34.200000000000003</v>
      </c>
      <c r="G12" s="5" t="str" cm="1">
        <f t="array" ref="G12">_xlfn.IFS(F12&lt;24.9,"B List",F12&lt;45,"Supporting",F12&gt;=45,"A List")</f>
        <v>Supporting</v>
      </c>
      <c r="H12" s="26">
        <f t="shared" si="1"/>
        <v>1250000</v>
      </c>
      <c r="I12" s="26">
        <f t="shared" si="2"/>
        <v>125000</v>
      </c>
      <c r="J12" s="28">
        <f t="shared" si="3"/>
        <v>11.736069016284437</v>
      </c>
      <c r="K12" s="5">
        <v>1</v>
      </c>
      <c r="L12" s="26" cm="1">
        <f t="array" ref="L12">_xlfn.IFS(G12="A List",_xlfn.XLOOKUP(E12,$B$39:$F$39,$B$40:$F$40),G12="Supporting",_xlfn.XLOOKUP(E12,$I$39:$M$39,$I$40:$M$40),G12="B List",_xlfn.XLOOKUP(E12,$P$39:$T$39,$P$40:$T$40))</f>
        <v>1000000</v>
      </c>
      <c r="M12" s="3">
        <v>2</v>
      </c>
      <c r="N12" s="27" cm="1">
        <f t="array" ref="N12">_xlfn.IFS(G12="A List",_xlfn.XLOOKUP(E12,$B$39:$F$39,$B$43:$F$43),G12="Supporting",_xlfn.XLOOKUP(E12,$I$39:$M$39,$I$43:$M$43),G12="B List",_xlfn.XLOOKUP(E12,$P$39:$T$39,$P$43:$T$43))</f>
        <v>125000</v>
      </c>
      <c r="O12" s="3">
        <v>0</v>
      </c>
      <c r="P12" s="27" cm="1">
        <f t="array" ref="P12">_xlfn.IFS(G12="A List",_xlfn.XLOOKUP(E12,$B$39:$F$39,$B$45:$F$45),G12="Supporting",_xlfn.XLOOKUP(E12,$I$39:$M$39,$I$45:$M$45),G12="B List",_xlfn.XLOOKUP(E12,$P$39:$T$39,$P$45:$T$45))</f>
        <v>35000</v>
      </c>
      <c r="Q12" s="3">
        <v>0</v>
      </c>
      <c r="R12" s="27" cm="1">
        <f t="array" ref="R12">_xlfn.IFS(G12="A List",_xlfn.XLOOKUP(E12,$B$39:$F$39,$B$44:$F$44),G12="Supporting",_xlfn.XLOOKUP(E12,$I$39:$M$39,$I$44:$M$44),G12="B List",_xlfn.XLOOKUP(E12,$P$39:$T$39,$P$44:$T$44))</f>
        <v>50000</v>
      </c>
      <c r="S12" s="3">
        <v>0</v>
      </c>
      <c r="T12" s="27" cm="1">
        <f t="array" ref="T12">_xlfn.IFS(G12="A List",_xlfn.XLOOKUP(E12,$B$39:$F$39,$B$41:$F$41),G12="Supporting",_xlfn.XLOOKUP(E12,$I$39:$M$39,$I$41:$M$41),G12="B List",_xlfn.XLOOKUP(E12,$P$39:$T$39,$P$41:$T$41))</f>
        <v>0</v>
      </c>
      <c r="U12" s="3">
        <v>0</v>
      </c>
      <c r="V12" s="27" cm="1">
        <f t="array" ref="V12">_xlfn.IFS(G12="A List",_xlfn.XLOOKUP(E12,$B$39:$F$39,$B$42:$F$42),G12="Supporting",_xlfn.XLOOKUP(E12,$I$39:$M$39,$I$42:$M$42),G12="B List",_xlfn.XLOOKUP(E12,$P$39:$T$39,$P$42:$T$42))</f>
        <v>0</v>
      </c>
      <c r="W12" s="3">
        <v>0</v>
      </c>
      <c r="X12" s="27" cm="1">
        <f t="array" ref="X12">_xlfn.IFS(G12="A List",_xlfn.XLOOKUP(E12,$B$39:$F$39,$B$46:$F$46),G12="Supporting",_xlfn.XLOOKUP(E12,$I$39:$M$39,$I$46:$M$46),G12="B List",_xlfn.XLOOKUP(E12,$P$39:$T$39,$P$46:$T$46))</f>
        <v>0</v>
      </c>
      <c r="Y12" s="3">
        <v>97</v>
      </c>
      <c r="Z12" s="3">
        <v>29</v>
      </c>
      <c r="AA12" s="3">
        <v>70</v>
      </c>
      <c r="AB12" s="3">
        <v>45</v>
      </c>
      <c r="AC12" s="3">
        <v>23</v>
      </c>
      <c r="AD12" s="3">
        <v>19</v>
      </c>
      <c r="AE12" s="3">
        <v>27</v>
      </c>
      <c r="AF12" s="3">
        <v>96</v>
      </c>
      <c r="AG12" s="3">
        <v>72</v>
      </c>
      <c r="AH12" s="3">
        <v>37</v>
      </c>
      <c r="AI12" s="3">
        <v>35</v>
      </c>
      <c r="AJ12" s="3">
        <v>24</v>
      </c>
      <c r="AK12" s="3">
        <v>2</v>
      </c>
      <c r="AL12" s="3">
        <v>2</v>
      </c>
      <c r="AM12" s="3">
        <v>0</v>
      </c>
      <c r="AN12" s="3">
        <v>2</v>
      </c>
      <c r="AO12" s="3">
        <v>4</v>
      </c>
      <c r="AP12" s="3">
        <v>31</v>
      </c>
      <c r="AQ12" s="3">
        <v>14</v>
      </c>
      <c r="AR12" s="3">
        <v>17</v>
      </c>
      <c r="AS12" s="3">
        <v>66</v>
      </c>
      <c r="AT12" s="3">
        <v>2</v>
      </c>
      <c r="AU12" s="3">
        <v>1</v>
      </c>
      <c r="AV12" s="3">
        <v>3</v>
      </c>
      <c r="AW12" s="3">
        <v>45</v>
      </c>
      <c r="AX12" s="3">
        <v>52</v>
      </c>
      <c r="AY12" s="3">
        <v>3</v>
      </c>
      <c r="AZ12" s="3">
        <v>23</v>
      </c>
      <c r="BA12" s="3">
        <v>15</v>
      </c>
      <c r="BB12" s="3">
        <v>15</v>
      </c>
      <c r="BC12" s="3">
        <v>2</v>
      </c>
      <c r="BD12" s="3">
        <v>3</v>
      </c>
      <c r="BE12" s="3">
        <v>2</v>
      </c>
      <c r="BF12" s="3">
        <v>11</v>
      </c>
      <c r="BG12" s="3">
        <v>8</v>
      </c>
      <c r="BH12" s="3">
        <v>12</v>
      </c>
      <c r="BI12" s="3">
        <v>14</v>
      </c>
      <c r="BJ12" s="3">
        <v>0</v>
      </c>
      <c r="BK12" s="3">
        <v>4</v>
      </c>
      <c r="BL12" s="3">
        <v>15</v>
      </c>
      <c r="BM12" s="3">
        <v>19</v>
      </c>
      <c r="BN12" s="3">
        <v>2</v>
      </c>
      <c r="BO12" s="3">
        <v>8</v>
      </c>
      <c r="BP12" s="3">
        <v>21</v>
      </c>
      <c r="BQ12" s="3">
        <v>14</v>
      </c>
      <c r="BR12" s="3">
        <v>13</v>
      </c>
      <c r="BS12" s="3">
        <v>4</v>
      </c>
      <c r="BT12" s="3">
        <v>26</v>
      </c>
      <c r="BU12" s="3">
        <v>14</v>
      </c>
      <c r="BV12" s="3">
        <v>11</v>
      </c>
      <c r="BW12" s="3">
        <v>33</v>
      </c>
      <c r="BX12" s="3">
        <v>1</v>
      </c>
      <c r="BY12" s="3">
        <v>44</v>
      </c>
      <c r="BZ12" s="3">
        <v>11</v>
      </c>
      <c r="CA12" s="3">
        <v>26</v>
      </c>
      <c r="CB12" s="3">
        <v>10</v>
      </c>
      <c r="CC12" s="3">
        <v>9</v>
      </c>
      <c r="CD12" s="3">
        <v>17</v>
      </c>
      <c r="CE12" s="3">
        <v>20</v>
      </c>
      <c r="CF12" s="3">
        <v>1</v>
      </c>
      <c r="CG12" s="3">
        <v>2</v>
      </c>
      <c r="CH12" s="3">
        <v>15</v>
      </c>
      <c r="CI12" s="3">
        <v>4</v>
      </c>
      <c r="CJ12" s="3">
        <v>9</v>
      </c>
      <c r="CK12" s="3">
        <v>13</v>
      </c>
      <c r="CL12" s="3">
        <v>53</v>
      </c>
      <c r="CM12" s="3">
        <v>3</v>
      </c>
      <c r="CN12" s="3">
        <v>6</v>
      </c>
      <c r="CO12" s="3">
        <v>16</v>
      </c>
      <c r="CP12" s="3">
        <v>19</v>
      </c>
    </row>
    <row r="13" spans="1:94">
      <c r="A13" s="3">
        <v>863003</v>
      </c>
      <c r="B13" s="3">
        <v>22</v>
      </c>
      <c r="C13" s="4">
        <v>600</v>
      </c>
      <c r="D13" s="5" t="s">
        <v>100</v>
      </c>
      <c r="E13" s="5" t="s">
        <v>98</v>
      </c>
      <c r="F13" s="5">
        <f t="shared" si="0"/>
        <v>34.200000000000003</v>
      </c>
      <c r="G13" s="5" t="str" cm="1">
        <f t="array" ref="G13">_xlfn.IFS(F13&lt;24.9,"B List",F13&lt;45,"Supporting",F13&gt;=45,"A List")</f>
        <v>Supporting</v>
      </c>
      <c r="H13" s="26">
        <f t="shared" si="1"/>
        <v>1385000</v>
      </c>
      <c r="I13" s="26">
        <f t="shared" si="2"/>
        <v>62954.545454545456</v>
      </c>
      <c r="J13" s="28">
        <f t="shared" si="3"/>
        <v>11.05016824424526</v>
      </c>
      <c r="K13" s="5">
        <v>1</v>
      </c>
      <c r="L13" s="26" cm="1">
        <f t="array" ref="L13">_xlfn.IFS(G13="A List",_xlfn.XLOOKUP(E13,$B$39:$F$39,$B$40:$F$40),G13="Supporting",_xlfn.XLOOKUP(E13,$I$39:$M$39,$I$40:$M$40),G13="B List",_xlfn.XLOOKUP(E13,$P$39:$T$39,$P$40:$T$40))</f>
        <v>1000000</v>
      </c>
      <c r="M13" s="3">
        <v>2</v>
      </c>
      <c r="N13" s="27" cm="1">
        <f t="array" ref="N13">_xlfn.IFS(G13="A List",_xlfn.XLOOKUP(E13,$B$39:$F$39,$B$43:$F$43),G13="Supporting",_xlfn.XLOOKUP(E13,$I$39:$M$39,$I$43:$M$43),G13="B List",_xlfn.XLOOKUP(E13,$P$39:$T$39,$P$43:$T$43))</f>
        <v>85000</v>
      </c>
      <c r="O13" s="3">
        <v>3</v>
      </c>
      <c r="P13" s="27" cm="1">
        <f t="array" ref="P13">_xlfn.IFS(G13="A List",_xlfn.XLOOKUP(E13,$B$39:$F$39,$B$45:$F$45),G13="Supporting",_xlfn.XLOOKUP(E13,$I$39:$M$39,$I$45:$M$45),G13="B List",_xlfn.XLOOKUP(E13,$P$39:$T$39,$P$45:$T$45))</f>
        <v>35000</v>
      </c>
      <c r="Q13" s="3">
        <v>2</v>
      </c>
      <c r="R13" s="27" cm="1">
        <f t="array" ref="R13">_xlfn.IFS(G13="A List",_xlfn.XLOOKUP(E13,$B$39:$F$39,$B$44:$F$44),G13="Supporting",_xlfn.XLOOKUP(E13,$I$39:$M$39,$I$44:$M$44),G13="B List",_xlfn.XLOOKUP(E13,$P$39:$T$39,$P$44:$T$44))</f>
        <v>55000</v>
      </c>
      <c r="S13" s="3">
        <v>0</v>
      </c>
      <c r="T13" s="27" cm="1">
        <f t="array" ref="T13">_xlfn.IFS(G13="A List",_xlfn.XLOOKUP(E13,$B$39:$F$39,$B$41:$F$41),G13="Supporting",_xlfn.XLOOKUP(E13,$I$39:$M$39,$I$41:$M$41),G13="B List",_xlfn.XLOOKUP(E13,$P$39:$T$39,$P$41:$T$41))</f>
        <v>0</v>
      </c>
      <c r="U13" s="3">
        <v>0</v>
      </c>
      <c r="V13" s="27" cm="1">
        <f t="array" ref="V13">_xlfn.IFS(G13="A List",_xlfn.XLOOKUP(E13,$B$39:$F$39,$B$42:$F$42),G13="Supporting",_xlfn.XLOOKUP(E13,$I$39:$M$39,$I$42:$M$42),G13="B List",_xlfn.XLOOKUP(E13,$P$39:$T$39,$P$42:$T$42))</f>
        <v>0</v>
      </c>
      <c r="W13" s="3">
        <v>0</v>
      </c>
      <c r="X13" s="27" cm="1">
        <f t="array" ref="X13">_xlfn.IFS(G13="A List",_xlfn.XLOOKUP(E13,$B$39:$F$39,$B$46:$F$46),G13="Supporting",_xlfn.XLOOKUP(E13,$I$39:$M$39,$I$46:$M$46),G13="B List",_xlfn.XLOOKUP(E13,$P$39:$T$39,$P$46:$T$46))</f>
        <v>150</v>
      </c>
      <c r="Y13" s="3">
        <v>92</v>
      </c>
      <c r="Z13" s="3">
        <v>32</v>
      </c>
      <c r="AA13" s="3">
        <v>63</v>
      </c>
      <c r="AB13" s="3">
        <v>80</v>
      </c>
      <c r="AC13" s="3">
        <v>24</v>
      </c>
      <c r="AD13" s="3">
        <v>28</v>
      </c>
      <c r="AE13" s="3">
        <v>20</v>
      </c>
      <c r="AF13" s="3">
        <v>87</v>
      </c>
      <c r="AG13" s="3">
        <v>57</v>
      </c>
      <c r="AH13" s="3">
        <v>27</v>
      </c>
      <c r="AI13" s="3">
        <v>29</v>
      </c>
      <c r="AJ13" s="3">
        <v>31</v>
      </c>
      <c r="AK13" s="3">
        <v>6</v>
      </c>
      <c r="AL13" s="3">
        <v>5</v>
      </c>
      <c r="AM13" s="3">
        <v>2</v>
      </c>
      <c r="AN13" s="3">
        <v>7</v>
      </c>
      <c r="AO13" s="3">
        <v>13</v>
      </c>
      <c r="AP13" s="3">
        <v>42</v>
      </c>
      <c r="AQ13" s="3">
        <v>24</v>
      </c>
      <c r="AR13" s="3">
        <v>18</v>
      </c>
      <c r="AS13" s="3">
        <v>52</v>
      </c>
      <c r="AT13" s="3">
        <v>3</v>
      </c>
      <c r="AU13" s="3">
        <v>3</v>
      </c>
      <c r="AV13" s="3">
        <v>6</v>
      </c>
      <c r="AW13" s="3">
        <v>38</v>
      </c>
      <c r="AX13" s="3">
        <v>47</v>
      </c>
      <c r="AY13" s="3">
        <v>16</v>
      </c>
      <c r="AZ13" s="3">
        <v>40</v>
      </c>
      <c r="BA13" s="3">
        <v>30</v>
      </c>
      <c r="BB13" s="3">
        <v>22</v>
      </c>
      <c r="BC13" s="3">
        <v>6</v>
      </c>
      <c r="BD13" s="3">
        <v>4</v>
      </c>
      <c r="BE13" s="3">
        <v>3</v>
      </c>
      <c r="BF13" s="3">
        <v>10</v>
      </c>
      <c r="BG13" s="3">
        <v>5</v>
      </c>
      <c r="BH13" s="3">
        <v>10</v>
      </c>
      <c r="BI13" s="3">
        <v>6</v>
      </c>
      <c r="BJ13" s="3">
        <v>3</v>
      </c>
      <c r="BK13" s="3">
        <v>4</v>
      </c>
      <c r="BL13" s="3">
        <v>11</v>
      </c>
      <c r="BM13" s="3">
        <v>14</v>
      </c>
      <c r="BN13" s="3">
        <v>4</v>
      </c>
      <c r="BO13" s="3">
        <v>15</v>
      </c>
      <c r="BP13" s="3">
        <v>33</v>
      </c>
      <c r="BQ13" s="3">
        <v>26</v>
      </c>
      <c r="BR13" s="3">
        <v>12</v>
      </c>
      <c r="BS13" s="3">
        <v>5</v>
      </c>
      <c r="BT13" s="3">
        <v>4</v>
      </c>
      <c r="BU13" s="3">
        <v>20</v>
      </c>
      <c r="BV13" s="3">
        <v>22</v>
      </c>
      <c r="BW13" s="3">
        <v>32</v>
      </c>
      <c r="BX13" s="3">
        <v>3</v>
      </c>
      <c r="BY13" s="3">
        <v>6</v>
      </c>
      <c r="BZ13" s="3">
        <v>8</v>
      </c>
      <c r="CA13" s="3">
        <v>31</v>
      </c>
      <c r="CB13" s="3">
        <v>32</v>
      </c>
      <c r="CC13" s="3">
        <v>25</v>
      </c>
      <c r="CD13" s="3">
        <v>19</v>
      </c>
      <c r="CE13" s="3">
        <v>19</v>
      </c>
      <c r="CF13" s="3">
        <v>5</v>
      </c>
      <c r="CG13" s="3">
        <v>42</v>
      </c>
      <c r="CH13" s="3">
        <v>17</v>
      </c>
      <c r="CI13" s="3">
        <v>6</v>
      </c>
      <c r="CJ13" s="3">
        <v>8</v>
      </c>
      <c r="CK13" s="3">
        <v>13</v>
      </c>
      <c r="CL13" s="3">
        <v>54</v>
      </c>
      <c r="CM13" s="3">
        <v>13</v>
      </c>
      <c r="CN13" s="3">
        <v>13</v>
      </c>
      <c r="CO13" s="3">
        <v>21</v>
      </c>
      <c r="CP13" s="3">
        <v>13</v>
      </c>
    </row>
    <row r="14" spans="1:94">
      <c r="A14" s="3">
        <v>784333</v>
      </c>
      <c r="B14" s="5">
        <v>5</v>
      </c>
      <c r="C14" s="4">
        <v>20</v>
      </c>
      <c r="D14" s="5" t="s">
        <v>96</v>
      </c>
      <c r="E14" s="5" t="s">
        <v>97</v>
      </c>
      <c r="F14" s="5">
        <f t="shared" si="0"/>
        <v>32.299999999999997</v>
      </c>
      <c r="G14" s="5" t="str" cm="1">
        <f t="array" ref="G14">_xlfn.IFS(F14&lt;24.9,"B List",F14&lt;45,"Supporting",F14&gt;=45,"A List")</f>
        <v>Supporting</v>
      </c>
      <c r="H14" s="26">
        <f t="shared" si="1"/>
        <v>230000</v>
      </c>
      <c r="I14" s="26">
        <f t="shared" si="2"/>
        <v>46000</v>
      </c>
      <c r="J14" s="28">
        <f t="shared" si="3"/>
        <v>10.736396675471232</v>
      </c>
      <c r="K14" s="5">
        <v>0</v>
      </c>
      <c r="L14" s="26" cm="1">
        <f t="array" ref="L14">_xlfn.IFS(G14="A List",_xlfn.XLOOKUP(E14,$B$39:$F$39,$B$40:$F$40),G14="Supporting",_xlfn.XLOOKUP(E14,$I$39:$M$39,$I$40:$M$40),G14="B List",_xlfn.XLOOKUP(E14,$P$39:$T$39,$P$40:$T$40))</f>
        <v>1000000</v>
      </c>
      <c r="M14" s="3">
        <v>1</v>
      </c>
      <c r="N14" s="27" cm="1">
        <f t="array" ref="N14">_xlfn.IFS(G14="A List",_xlfn.XLOOKUP(E14,$B$39:$F$39,$B$43:$F$43),G14="Supporting",_xlfn.XLOOKUP(E14,$I$39:$M$39,$I$43:$M$43),G14="B List",_xlfn.XLOOKUP(E14,$P$39:$T$39,$P$43:$T$43))</f>
        <v>125000</v>
      </c>
      <c r="O14" s="3">
        <v>3</v>
      </c>
      <c r="P14" s="27" cm="1">
        <f t="array" ref="P14">_xlfn.IFS(G14="A List",_xlfn.XLOOKUP(E14,$B$39:$F$39,$B$45:$F$45),G14="Supporting",_xlfn.XLOOKUP(E14,$I$39:$M$39,$I$45:$M$45),G14="B List",_xlfn.XLOOKUP(E14,$P$39:$T$39,$P$45:$T$45))</f>
        <v>35000</v>
      </c>
      <c r="Q14" s="3">
        <v>0</v>
      </c>
      <c r="R14" s="27" cm="1">
        <f t="array" ref="R14">_xlfn.IFS(G14="A List",_xlfn.XLOOKUP(E14,$B$39:$F$39,$B$44:$F$44),G14="Supporting",_xlfn.XLOOKUP(E14,$I$39:$M$39,$I$44:$M$44),G14="B List",_xlfn.XLOOKUP(E14,$P$39:$T$39,$P$44:$T$44))</f>
        <v>50000</v>
      </c>
      <c r="S14" s="3">
        <v>0</v>
      </c>
      <c r="T14" s="27" cm="1">
        <f t="array" ref="T14">_xlfn.IFS(G14="A List",_xlfn.XLOOKUP(E14,$B$39:$F$39,$B$41:$F$41),G14="Supporting",_xlfn.XLOOKUP(E14,$I$39:$M$39,$I$41:$M$41),G14="B List",_xlfn.XLOOKUP(E14,$P$39:$T$39,$P$41:$T$41))</f>
        <v>0</v>
      </c>
      <c r="U14" s="3">
        <v>0</v>
      </c>
      <c r="V14" s="27" cm="1">
        <f t="array" ref="V14">_xlfn.IFS(G14="A List",_xlfn.XLOOKUP(E14,$B$39:$F$39,$B$42:$F$42),G14="Supporting",_xlfn.XLOOKUP(E14,$I$39:$M$39,$I$42:$M$42),G14="B List",_xlfn.XLOOKUP(E14,$P$39:$T$39,$P$42:$T$42))</f>
        <v>0</v>
      </c>
      <c r="W14" s="3">
        <v>0</v>
      </c>
      <c r="X14" s="27" cm="1">
        <f t="array" ref="X14">_xlfn.IFS(G14="A List",_xlfn.XLOOKUP(E14,$B$39:$F$39,$B$46:$F$46),G14="Supporting",_xlfn.XLOOKUP(E14,$I$39:$M$39,$I$46:$M$46),G14="B List",_xlfn.XLOOKUP(E14,$P$39:$T$39,$P$46:$T$46))</f>
        <v>0</v>
      </c>
      <c r="Y14" s="3">
        <v>95</v>
      </c>
      <c r="Z14" s="3">
        <v>26</v>
      </c>
      <c r="AA14" s="3">
        <v>65</v>
      </c>
      <c r="AB14" s="3">
        <v>40</v>
      </c>
      <c r="AC14" s="3">
        <v>23</v>
      </c>
      <c r="AD14" s="3">
        <v>20</v>
      </c>
      <c r="AE14" s="3">
        <v>26</v>
      </c>
      <c r="AF14" s="3">
        <v>94</v>
      </c>
      <c r="AG14" s="3">
        <v>68</v>
      </c>
      <c r="AH14" s="3">
        <v>29</v>
      </c>
      <c r="AI14" s="3">
        <v>38</v>
      </c>
      <c r="AJ14" s="3">
        <v>27</v>
      </c>
      <c r="AK14" s="3">
        <v>3</v>
      </c>
      <c r="AL14" s="3">
        <v>2</v>
      </c>
      <c r="AM14" s="3">
        <v>1</v>
      </c>
      <c r="AN14" s="3">
        <v>3</v>
      </c>
      <c r="AO14" s="3">
        <v>6</v>
      </c>
      <c r="AP14" s="3">
        <v>30</v>
      </c>
      <c r="AQ14" s="3">
        <v>13</v>
      </c>
      <c r="AR14" s="3">
        <v>17</v>
      </c>
      <c r="AS14" s="3">
        <v>66</v>
      </c>
      <c r="AT14" s="3">
        <v>2</v>
      </c>
      <c r="AU14" s="3">
        <v>2</v>
      </c>
      <c r="AV14" s="3">
        <v>4</v>
      </c>
      <c r="AW14" s="3">
        <v>43</v>
      </c>
      <c r="AX14" s="3">
        <v>50</v>
      </c>
      <c r="AY14" s="3">
        <v>7</v>
      </c>
      <c r="AZ14" s="3">
        <v>20</v>
      </c>
      <c r="BA14" s="3">
        <v>15</v>
      </c>
      <c r="BB14" s="3">
        <v>8</v>
      </c>
      <c r="BC14" s="3">
        <v>1</v>
      </c>
      <c r="BD14" s="3">
        <v>2</v>
      </c>
      <c r="BE14" s="3">
        <v>3</v>
      </c>
      <c r="BF14" s="3">
        <v>15</v>
      </c>
      <c r="BG14" s="3">
        <v>13</v>
      </c>
      <c r="BH14" s="3">
        <v>12</v>
      </c>
      <c r="BI14" s="3">
        <v>3</v>
      </c>
      <c r="BJ14" s="3">
        <v>3</v>
      </c>
      <c r="BK14" s="3">
        <v>6</v>
      </c>
      <c r="BL14" s="3">
        <v>17</v>
      </c>
      <c r="BM14" s="3">
        <v>8</v>
      </c>
      <c r="BN14" s="3">
        <v>1</v>
      </c>
      <c r="BO14" s="3">
        <v>7</v>
      </c>
      <c r="BP14" s="3">
        <v>17</v>
      </c>
      <c r="BQ14" s="3">
        <v>18</v>
      </c>
      <c r="BR14" s="3">
        <v>11</v>
      </c>
      <c r="BS14" s="3">
        <v>9</v>
      </c>
      <c r="BT14" s="3">
        <v>17</v>
      </c>
      <c r="BU14" s="3">
        <v>10</v>
      </c>
      <c r="BV14" s="3">
        <v>9</v>
      </c>
      <c r="BW14" s="3">
        <v>18</v>
      </c>
      <c r="BX14" s="3">
        <v>2</v>
      </c>
      <c r="BY14" s="3">
        <v>57</v>
      </c>
      <c r="BZ14" s="3">
        <v>2</v>
      </c>
      <c r="CA14" s="3">
        <v>26</v>
      </c>
      <c r="CB14" s="3">
        <v>5</v>
      </c>
      <c r="CC14" s="3">
        <v>6</v>
      </c>
      <c r="CD14" s="3">
        <v>13</v>
      </c>
      <c r="CE14" s="3">
        <v>13</v>
      </c>
      <c r="CF14" s="3">
        <v>4</v>
      </c>
      <c r="CG14" s="3">
        <v>5</v>
      </c>
      <c r="CH14" s="3">
        <v>10</v>
      </c>
      <c r="CI14" s="3">
        <v>2</v>
      </c>
      <c r="CJ14" s="3">
        <v>9</v>
      </c>
      <c r="CK14" s="3">
        <v>4</v>
      </c>
      <c r="CL14" s="3">
        <v>36</v>
      </c>
      <c r="CM14" s="3">
        <v>5</v>
      </c>
      <c r="CN14" s="3">
        <v>5</v>
      </c>
      <c r="CO14" s="3">
        <v>9</v>
      </c>
      <c r="CP14" s="3">
        <v>10</v>
      </c>
    </row>
    <row r="15" spans="1:94">
      <c r="A15" s="3">
        <v>595416</v>
      </c>
      <c r="B15" s="3">
        <v>6</v>
      </c>
      <c r="C15" s="4">
        <v>50</v>
      </c>
      <c r="D15" s="5" t="s">
        <v>96</v>
      </c>
      <c r="E15" s="5" t="s">
        <v>98</v>
      </c>
      <c r="F15" s="5">
        <f t="shared" si="0"/>
        <v>28.7</v>
      </c>
      <c r="G15" s="5" t="str" cm="1">
        <f t="array" ref="G15">_xlfn.IFS(F15&lt;24.9,"B List",F15&lt;45,"Supporting",F15&gt;=45,"A List")</f>
        <v>Supporting</v>
      </c>
      <c r="H15" s="26">
        <f t="shared" si="1"/>
        <v>1350000</v>
      </c>
      <c r="I15" s="26">
        <f t="shared" si="2"/>
        <v>225000</v>
      </c>
      <c r="J15" s="28">
        <f t="shared" si="3"/>
        <v>12.323855681186558</v>
      </c>
      <c r="K15" s="5">
        <v>1</v>
      </c>
      <c r="L15" s="26" cm="1">
        <f t="array" ref="L15">_xlfn.IFS(G15="A List",_xlfn.XLOOKUP(E15,$B$39:$F$39,$B$40:$F$40),G15="Supporting",_xlfn.XLOOKUP(E15,$I$39:$M$39,$I$40:$M$40),G15="B List",_xlfn.XLOOKUP(E15,$P$39:$T$39,$P$40:$T$40))</f>
        <v>1000000</v>
      </c>
      <c r="M15" s="3">
        <v>1</v>
      </c>
      <c r="N15" s="27" cm="1">
        <f t="array" ref="N15">_xlfn.IFS(G15="A List",_xlfn.XLOOKUP(E15,$B$39:$F$39,$B$43:$F$43),G15="Supporting",_xlfn.XLOOKUP(E15,$I$39:$M$39,$I$43:$M$43),G15="B List",_xlfn.XLOOKUP(E15,$P$39:$T$39,$P$43:$T$43))</f>
        <v>85000</v>
      </c>
      <c r="O15" s="3">
        <v>6</v>
      </c>
      <c r="P15" s="27" cm="1">
        <f t="array" ref="P15">_xlfn.IFS(G15="A List",_xlfn.XLOOKUP(E15,$B$39:$F$39,$B$45:$F$45),G15="Supporting",_xlfn.XLOOKUP(E15,$I$39:$M$39,$I$45:$M$45),G15="B List",_xlfn.XLOOKUP(E15,$P$39:$T$39,$P$45:$T$45))</f>
        <v>35000</v>
      </c>
      <c r="Q15" s="3">
        <v>1</v>
      </c>
      <c r="R15" s="27" cm="1">
        <f t="array" ref="R15">_xlfn.IFS(G15="A List",_xlfn.XLOOKUP(E15,$B$39:$F$39,$B$44:$F$44),G15="Supporting",_xlfn.XLOOKUP(E15,$I$39:$M$39,$I$44:$M$44),G15="B List",_xlfn.XLOOKUP(E15,$P$39:$T$39,$P$44:$T$44))</f>
        <v>55000</v>
      </c>
      <c r="S15" s="3">
        <v>0</v>
      </c>
      <c r="T15" s="27" cm="1">
        <f t="array" ref="T15">_xlfn.IFS(G15="A List",_xlfn.XLOOKUP(E15,$B$39:$F$39,$B$41:$F$41),G15="Supporting",_xlfn.XLOOKUP(E15,$I$39:$M$39,$I$41:$M$41),G15="B List",_xlfn.XLOOKUP(E15,$P$39:$T$39,$P$41:$T$41))</f>
        <v>0</v>
      </c>
      <c r="U15" s="3">
        <v>0</v>
      </c>
      <c r="V15" s="27" cm="1">
        <f t="array" ref="V15">_xlfn.IFS(G15="A List",_xlfn.XLOOKUP(E15,$B$39:$F$39,$B$42:$F$42),G15="Supporting",_xlfn.XLOOKUP(E15,$I$39:$M$39,$I$42:$M$42),G15="B List",_xlfn.XLOOKUP(E15,$P$39:$T$39,$P$42:$T$42))</f>
        <v>0</v>
      </c>
      <c r="W15" s="3">
        <v>0</v>
      </c>
      <c r="X15" s="27" cm="1">
        <f t="array" ref="X15">_xlfn.IFS(G15="A List",_xlfn.XLOOKUP(E15,$B$39:$F$39,$B$46:$F$46),G15="Supporting",_xlfn.XLOOKUP(E15,$I$39:$M$39,$I$46:$M$46),G15="B List",_xlfn.XLOOKUP(E15,$P$39:$T$39,$P$46:$T$46))</f>
        <v>150</v>
      </c>
      <c r="Y15" s="3">
        <v>95</v>
      </c>
      <c r="Z15" s="3">
        <v>24</v>
      </c>
      <c r="AA15" s="3">
        <v>45</v>
      </c>
      <c r="AB15" s="3">
        <v>34</v>
      </c>
      <c r="AC15" s="3">
        <v>25</v>
      </c>
      <c r="AD15" s="3">
        <v>27</v>
      </c>
      <c r="AE15" s="3">
        <v>23</v>
      </c>
      <c r="AF15" s="3">
        <v>91</v>
      </c>
      <c r="AG15" s="3">
        <v>44</v>
      </c>
      <c r="AH15" s="3">
        <v>12</v>
      </c>
      <c r="AI15" s="3">
        <v>32</v>
      </c>
      <c r="AJ15" s="3">
        <v>47</v>
      </c>
      <c r="AK15" s="3">
        <v>6</v>
      </c>
      <c r="AL15" s="3">
        <v>3</v>
      </c>
      <c r="AM15" s="3">
        <v>0</v>
      </c>
      <c r="AN15" s="3">
        <v>3</v>
      </c>
      <c r="AO15" s="3">
        <v>9</v>
      </c>
      <c r="AP15" s="3">
        <v>21</v>
      </c>
      <c r="AQ15" s="3">
        <v>6</v>
      </c>
      <c r="AR15" s="3">
        <v>15</v>
      </c>
      <c r="AS15" s="3">
        <v>75</v>
      </c>
      <c r="AT15" s="3">
        <v>3</v>
      </c>
      <c r="AU15" s="3">
        <v>1</v>
      </c>
      <c r="AV15" s="3">
        <v>4</v>
      </c>
      <c r="AW15" s="3">
        <v>24</v>
      </c>
      <c r="AX15" s="3">
        <v>62</v>
      </c>
      <c r="AY15" s="3">
        <v>14</v>
      </c>
      <c r="AZ15" s="3">
        <v>13</v>
      </c>
      <c r="BA15" s="3">
        <v>9</v>
      </c>
      <c r="BB15" s="3">
        <v>6</v>
      </c>
      <c r="BC15" s="3">
        <v>2</v>
      </c>
      <c r="BD15" s="3">
        <v>2</v>
      </c>
      <c r="BE15" s="3">
        <v>3</v>
      </c>
      <c r="BF15" s="3">
        <v>8</v>
      </c>
      <c r="BG15" s="3">
        <v>8</v>
      </c>
      <c r="BH15" s="3">
        <v>4</v>
      </c>
      <c r="BI15" s="3">
        <v>1</v>
      </c>
      <c r="BJ15" s="3">
        <v>1</v>
      </c>
      <c r="BK15" s="3">
        <v>3</v>
      </c>
      <c r="BL15" s="3">
        <v>8</v>
      </c>
      <c r="BM15" s="3">
        <v>12</v>
      </c>
      <c r="BN15" s="3">
        <v>2</v>
      </c>
      <c r="BO15" s="3">
        <v>5</v>
      </c>
      <c r="BP15" s="3">
        <v>30</v>
      </c>
      <c r="BQ15" s="3">
        <v>13</v>
      </c>
      <c r="BR15" s="3">
        <v>13</v>
      </c>
      <c r="BS15" s="3">
        <v>1</v>
      </c>
      <c r="BT15" s="3">
        <v>13</v>
      </c>
      <c r="BU15" s="3">
        <v>10</v>
      </c>
      <c r="BV15" s="3">
        <v>9</v>
      </c>
      <c r="BW15" s="3">
        <v>31</v>
      </c>
      <c r="BX15" s="3">
        <v>2</v>
      </c>
      <c r="BY15" s="3">
        <v>4</v>
      </c>
      <c r="BZ15" s="3">
        <v>1</v>
      </c>
      <c r="CA15" s="3">
        <v>14</v>
      </c>
      <c r="CB15" s="3">
        <v>14</v>
      </c>
      <c r="CC15" s="3">
        <v>9</v>
      </c>
      <c r="CD15" s="3">
        <v>14</v>
      </c>
      <c r="CE15" s="3">
        <v>10</v>
      </c>
      <c r="CF15" s="3">
        <v>3</v>
      </c>
      <c r="CG15" s="3">
        <v>23</v>
      </c>
      <c r="CH15" s="3">
        <v>11</v>
      </c>
      <c r="CI15" s="3">
        <v>1</v>
      </c>
      <c r="CJ15" s="3">
        <v>6</v>
      </c>
      <c r="CK15" s="3">
        <v>3</v>
      </c>
      <c r="CL15" s="3">
        <v>43</v>
      </c>
      <c r="CM15" s="3">
        <v>5</v>
      </c>
      <c r="CN15" s="3">
        <v>5</v>
      </c>
      <c r="CO15" s="3">
        <v>6</v>
      </c>
      <c r="CP15" s="3">
        <v>6</v>
      </c>
    </row>
    <row r="16" spans="1:94">
      <c r="A16" s="3">
        <v>743158</v>
      </c>
      <c r="B16" s="5">
        <v>12</v>
      </c>
      <c r="C16" s="4">
        <v>150</v>
      </c>
      <c r="D16" s="5" t="s">
        <v>96</v>
      </c>
      <c r="E16" s="5" t="s">
        <v>98</v>
      </c>
      <c r="F16" s="5">
        <f t="shared" si="0"/>
        <v>28.200000000000003</v>
      </c>
      <c r="G16" s="5" t="str" cm="1">
        <f t="array" ref="G16">_xlfn.IFS(F16&lt;24.9,"B List",F16&lt;45,"Supporting",F16&gt;=45,"A List")</f>
        <v>Supporting</v>
      </c>
      <c r="H16" s="26">
        <f t="shared" si="1"/>
        <v>260000</v>
      </c>
      <c r="I16" s="26">
        <f t="shared" si="2"/>
        <v>21666.666666666668</v>
      </c>
      <c r="J16" s="28">
        <f t="shared" si="3"/>
        <v>9.9835302602096654</v>
      </c>
      <c r="K16" s="5">
        <v>0</v>
      </c>
      <c r="L16" s="26" cm="1">
        <f t="array" ref="L16">_xlfn.IFS(G16="A List",_xlfn.XLOOKUP(E16,$B$39:$F$39,$B$40:$F$40),G16="Supporting",_xlfn.XLOOKUP(E16,$I$39:$M$39,$I$40:$M$40),G16="B List",_xlfn.XLOOKUP(E16,$P$39:$T$39,$P$40:$T$40))</f>
        <v>1000000</v>
      </c>
      <c r="M16" s="3">
        <v>1</v>
      </c>
      <c r="N16" s="27" cm="1">
        <f t="array" ref="N16">_xlfn.IFS(G16="A List",_xlfn.XLOOKUP(E16,$B$39:$F$39,$B$43:$F$43),G16="Supporting",_xlfn.XLOOKUP(E16,$I$39:$M$39,$I$43:$M$43),G16="B List",_xlfn.XLOOKUP(E16,$P$39:$T$39,$P$43:$T$43))</f>
        <v>85000</v>
      </c>
      <c r="O16" s="3">
        <v>5</v>
      </c>
      <c r="P16" s="27" cm="1">
        <f t="array" ref="P16">_xlfn.IFS(G16="A List",_xlfn.XLOOKUP(E16,$B$39:$F$39,$B$45:$F$45),G16="Supporting",_xlfn.XLOOKUP(E16,$I$39:$M$39,$I$45:$M$45),G16="B List",_xlfn.XLOOKUP(E16,$P$39:$T$39,$P$45:$T$45))</f>
        <v>35000</v>
      </c>
      <c r="Q16" s="3">
        <v>0</v>
      </c>
      <c r="R16" s="27" cm="1">
        <f t="array" ref="R16">_xlfn.IFS(G16="A List",_xlfn.XLOOKUP(E16,$B$39:$F$39,$B$44:$F$44),G16="Supporting",_xlfn.XLOOKUP(E16,$I$39:$M$39,$I$44:$M$44),G16="B List",_xlfn.XLOOKUP(E16,$P$39:$T$39,$P$44:$T$44))</f>
        <v>55000</v>
      </c>
      <c r="S16" s="3">
        <v>0</v>
      </c>
      <c r="T16" s="27" cm="1">
        <f t="array" ref="T16">_xlfn.IFS(G16="A List",_xlfn.XLOOKUP(E16,$B$39:$F$39,$B$41:$F$41),G16="Supporting",_xlfn.XLOOKUP(E16,$I$39:$M$39,$I$41:$M$41),G16="B List",_xlfn.XLOOKUP(E16,$P$39:$T$39,$P$41:$T$41))</f>
        <v>0</v>
      </c>
      <c r="U16" s="3">
        <v>0</v>
      </c>
      <c r="V16" s="27" cm="1">
        <f t="array" ref="V16">_xlfn.IFS(G16="A List",_xlfn.XLOOKUP(E16,$B$39:$F$39,$B$42:$F$42),G16="Supporting",_xlfn.XLOOKUP(E16,$I$39:$M$39,$I$42:$M$42),G16="B List",_xlfn.XLOOKUP(E16,$P$39:$T$39,$P$42:$T$42))</f>
        <v>0</v>
      </c>
      <c r="W16" s="3">
        <v>0</v>
      </c>
      <c r="X16" s="27" cm="1">
        <f t="array" ref="X16">_xlfn.IFS(G16="A List",_xlfn.XLOOKUP(E16,$B$39:$F$39,$B$46:$F$46),G16="Supporting",_xlfn.XLOOKUP(E16,$I$39:$M$39,$I$46:$M$46),G16="B List",_xlfn.XLOOKUP(E16,$P$39:$T$39,$P$46:$T$46))</f>
        <v>150</v>
      </c>
      <c r="Y16" s="3">
        <v>92</v>
      </c>
      <c r="Z16" s="3">
        <v>25</v>
      </c>
      <c r="AA16" s="3">
        <v>51</v>
      </c>
      <c r="AB16" s="3">
        <v>44</v>
      </c>
      <c r="AC16" s="3">
        <v>21</v>
      </c>
      <c r="AD16" s="3">
        <v>25</v>
      </c>
      <c r="AE16" s="3">
        <v>16</v>
      </c>
      <c r="AF16" s="3">
        <v>90</v>
      </c>
      <c r="AG16" s="3">
        <v>49</v>
      </c>
      <c r="AH16" s="3">
        <v>18</v>
      </c>
      <c r="AI16" s="3">
        <v>30</v>
      </c>
      <c r="AJ16" s="3">
        <v>41</v>
      </c>
      <c r="AK16" s="3">
        <v>8</v>
      </c>
      <c r="AL16" s="3">
        <v>0</v>
      </c>
      <c r="AM16" s="3">
        <v>2</v>
      </c>
      <c r="AN16" s="3">
        <v>2</v>
      </c>
      <c r="AO16" s="3">
        <v>10</v>
      </c>
      <c r="AP16" s="3">
        <v>26</v>
      </c>
      <c r="AQ16" s="3">
        <v>13</v>
      </c>
      <c r="AR16" s="3">
        <v>13</v>
      </c>
      <c r="AS16" s="3">
        <v>70</v>
      </c>
      <c r="AT16" s="3">
        <v>1</v>
      </c>
      <c r="AU16" s="3">
        <v>3</v>
      </c>
      <c r="AV16" s="3">
        <v>4</v>
      </c>
      <c r="AW16" s="3">
        <v>29</v>
      </c>
      <c r="AX16" s="3">
        <v>57</v>
      </c>
      <c r="AY16" s="3">
        <v>13</v>
      </c>
      <c r="AZ16" s="3">
        <v>19</v>
      </c>
      <c r="BA16" s="3">
        <v>12</v>
      </c>
      <c r="BB16" s="3">
        <v>9</v>
      </c>
      <c r="BC16" s="3">
        <v>3</v>
      </c>
      <c r="BD16" s="3">
        <v>4</v>
      </c>
      <c r="BE16" s="3">
        <v>1</v>
      </c>
      <c r="BF16" s="3">
        <v>9</v>
      </c>
      <c r="BG16" s="3">
        <v>7</v>
      </c>
      <c r="BH16" s="3">
        <v>4</v>
      </c>
      <c r="BI16" s="3">
        <v>3</v>
      </c>
      <c r="BJ16" s="3">
        <v>2</v>
      </c>
      <c r="BK16" s="3">
        <v>4</v>
      </c>
      <c r="BL16" s="3">
        <v>8</v>
      </c>
      <c r="BM16" s="3">
        <v>8</v>
      </c>
      <c r="BN16" s="3">
        <v>1</v>
      </c>
      <c r="BO16" s="3">
        <v>7</v>
      </c>
      <c r="BP16" s="3">
        <v>30</v>
      </c>
      <c r="BQ16" s="3">
        <v>17</v>
      </c>
      <c r="BR16" s="3">
        <v>13</v>
      </c>
      <c r="BS16" s="3">
        <v>4</v>
      </c>
      <c r="BT16" s="3">
        <v>7</v>
      </c>
      <c r="BU16" s="3">
        <v>14</v>
      </c>
      <c r="BV16" s="3">
        <v>10</v>
      </c>
      <c r="BW16" s="3">
        <v>32</v>
      </c>
      <c r="BX16" s="3">
        <v>1</v>
      </c>
      <c r="BY16" s="3">
        <v>7</v>
      </c>
      <c r="BZ16" s="3">
        <v>3</v>
      </c>
      <c r="CA16" s="3">
        <v>22</v>
      </c>
      <c r="CB16" s="3">
        <v>13</v>
      </c>
      <c r="CC16" s="3">
        <v>11</v>
      </c>
      <c r="CD16" s="3">
        <v>15</v>
      </c>
      <c r="CE16" s="3">
        <v>13</v>
      </c>
      <c r="CF16" s="3">
        <v>3</v>
      </c>
      <c r="CG16" s="3">
        <v>31</v>
      </c>
      <c r="CH16" s="3">
        <v>13</v>
      </c>
      <c r="CI16" s="3">
        <v>1</v>
      </c>
      <c r="CJ16" s="3">
        <v>6</v>
      </c>
      <c r="CK16" s="3">
        <v>7</v>
      </c>
      <c r="CL16" s="3">
        <v>46</v>
      </c>
      <c r="CM16" s="3">
        <v>7</v>
      </c>
      <c r="CN16" s="3">
        <v>6</v>
      </c>
      <c r="CO16" s="3">
        <v>8</v>
      </c>
      <c r="CP16" s="3">
        <v>10</v>
      </c>
    </row>
    <row r="17" spans="1:94">
      <c r="A17" s="3">
        <v>775978</v>
      </c>
      <c r="B17" s="3">
        <v>12</v>
      </c>
      <c r="C17" s="4">
        <v>90</v>
      </c>
      <c r="D17" s="5" t="s">
        <v>96</v>
      </c>
      <c r="E17" s="5" t="s">
        <v>98</v>
      </c>
      <c r="F17" s="5">
        <f t="shared" si="0"/>
        <v>27.5</v>
      </c>
      <c r="G17" s="5" t="str" cm="1">
        <f t="array" ref="G17">_xlfn.IFS(F17&lt;24.9,"B List",F17&lt;45,"Supporting",F17&gt;=45,"A List")</f>
        <v>Supporting</v>
      </c>
      <c r="H17" s="26">
        <f t="shared" si="1"/>
        <v>590000</v>
      </c>
      <c r="I17" s="26">
        <f t="shared" si="2"/>
        <v>49166.666666666664</v>
      </c>
      <c r="J17" s="28">
        <f t="shared" si="3"/>
        <v>10.802971166093903</v>
      </c>
      <c r="K17" s="5">
        <v>0</v>
      </c>
      <c r="L17" s="26" cm="1">
        <f t="array" ref="L17">_xlfn.IFS(G17="A List",_xlfn.XLOOKUP(E17,$B$39:$F$39,$B$40:$F$40),G17="Supporting",_xlfn.XLOOKUP(E17,$I$39:$M$39,$I$40:$M$40),G17="B List",_xlfn.XLOOKUP(E17,$P$39:$T$39,$P$40:$T$40))</f>
        <v>1000000</v>
      </c>
      <c r="M17" s="3">
        <v>3</v>
      </c>
      <c r="N17" s="27" cm="1">
        <f t="array" ref="N17">_xlfn.IFS(G17="A List",_xlfn.XLOOKUP(E17,$B$39:$F$39,$B$43:$F$43),G17="Supporting",_xlfn.XLOOKUP(E17,$I$39:$M$39,$I$43:$M$43),G17="B List",_xlfn.XLOOKUP(E17,$P$39:$T$39,$P$43:$T$43))</f>
        <v>85000</v>
      </c>
      <c r="O17" s="3">
        <v>8</v>
      </c>
      <c r="P17" s="27" cm="1">
        <f t="array" ref="P17">_xlfn.IFS(G17="A List",_xlfn.XLOOKUP(E17,$B$39:$F$39,$B$45:$F$45),G17="Supporting",_xlfn.XLOOKUP(E17,$I$39:$M$39,$I$45:$M$45),G17="B List",_xlfn.XLOOKUP(E17,$P$39:$T$39,$P$45:$T$45))</f>
        <v>35000</v>
      </c>
      <c r="Q17" s="3">
        <v>1</v>
      </c>
      <c r="R17" s="27" cm="1">
        <f t="array" ref="R17">_xlfn.IFS(G17="A List",_xlfn.XLOOKUP(E17,$B$39:$F$39,$B$44:$F$44),G17="Supporting",_xlfn.XLOOKUP(E17,$I$39:$M$39,$I$44:$M$44),G17="B List",_xlfn.XLOOKUP(E17,$P$39:$T$39,$P$44:$T$44))</f>
        <v>55000</v>
      </c>
      <c r="S17" s="3">
        <v>0</v>
      </c>
      <c r="T17" s="27" cm="1">
        <f t="array" ref="T17">_xlfn.IFS(G17="A List",_xlfn.XLOOKUP(E17,$B$39:$F$39,$B$41:$F$41),G17="Supporting",_xlfn.XLOOKUP(E17,$I$39:$M$39,$I$41:$M$41),G17="B List",_xlfn.XLOOKUP(E17,$P$39:$T$39,$P$41:$T$41))</f>
        <v>0</v>
      </c>
      <c r="U17" s="3">
        <v>0</v>
      </c>
      <c r="V17" s="27" cm="1">
        <f t="array" ref="V17">_xlfn.IFS(G17="A List",_xlfn.XLOOKUP(E17,$B$39:$F$39,$B$42:$F$42),G17="Supporting",_xlfn.XLOOKUP(E17,$I$39:$M$39,$I$42:$M$42),G17="B List",_xlfn.XLOOKUP(E17,$P$39:$T$39,$P$42:$T$42))</f>
        <v>0</v>
      </c>
      <c r="W17" s="3">
        <v>0</v>
      </c>
      <c r="X17" s="27" cm="1">
        <f t="array" ref="X17">_xlfn.IFS(G17="A List",_xlfn.XLOOKUP(E17,$B$39:$F$39,$B$46:$F$46),G17="Supporting",_xlfn.XLOOKUP(E17,$I$39:$M$39,$I$46:$M$46),G17="B List",_xlfn.XLOOKUP(E17,$P$39:$T$39,$P$46:$T$46))</f>
        <v>150</v>
      </c>
      <c r="Y17" s="3">
        <v>92</v>
      </c>
      <c r="Z17" s="3">
        <v>26</v>
      </c>
      <c r="AA17" s="3">
        <v>56</v>
      </c>
      <c r="AB17" s="3">
        <v>44</v>
      </c>
      <c r="AC17" s="3">
        <v>17</v>
      </c>
      <c r="AD17" s="3">
        <v>27</v>
      </c>
      <c r="AE17" s="3">
        <v>7</v>
      </c>
      <c r="AF17" s="3">
        <v>94</v>
      </c>
      <c r="AG17" s="3">
        <v>52</v>
      </c>
      <c r="AH17" s="3">
        <v>23</v>
      </c>
      <c r="AI17" s="3">
        <v>29</v>
      </c>
      <c r="AJ17" s="3">
        <v>43</v>
      </c>
      <c r="AK17" s="3">
        <v>4</v>
      </c>
      <c r="AL17" s="3">
        <v>0</v>
      </c>
      <c r="AM17" s="3">
        <v>1</v>
      </c>
      <c r="AN17" s="3">
        <v>1</v>
      </c>
      <c r="AO17" s="3">
        <v>6</v>
      </c>
      <c r="AP17" s="3">
        <v>29</v>
      </c>
      <c r="AQ17" s="3">
        <v>14</v>
      </c>
      <c r="AR17" s="3">
        <v>15</v>
      </c>
      <c r="AS17" s="3">
        <v>69</v>
      </c>
      <c r="AT17" s="3">
        <v>0</v>
      </c>
      <c r="AU17" s="3">
        <v>2</v>
      </c>
      <c r="AV17" s="3">
        <v>2</v>
      </c>
      <c r="AW17" s="3">
        <v>32</v>
      </c>
      <c r="AX17" s="3">
        <v>61</v>
      </c>
      <c r="AY17" s="3">
        <v>7</v>
      </c>
      <c r="AZ17" s="3">
        <v>18</v>
      </c>
      <c r="BA17" s="3">
        <v>12</v>
      </c>
      <c r="BB17" s="3">
        <v>10</v>
      </c>
      <c r="BC17" s="3">
        <v>3</v>
      </c>
      <c r="BD17" s="3">
        <v>2</v>
      </c>
      <c r="BE17" s="3">
        <v>1</v>
      </c>
      <c r="BF17" s="3">
        <v>9</v>
      </c>
      <c r="BG17" s="3">
        <v>4</v>
      </c>
      <c r="BH17" s="3">
        <v>3</v>
      </c>
      <c r="BI17" s="3">
        <v>2</v>
      </c>
      <c r="BJ17" s="3">
        <v>2</v>
      </c>
      <c r="BK17" s="3">
        <v>4</v>
      </c>
      <c r="BL17" s="3">
        <v>8</v>
      </c>
      <c r="BM17" s="3">
        <v>12</v>
      </c>
      <c r="BN17" s="3">
        <v>1</v>
      </c>
      <c r="BO17" s="3">
        <v>4</v>
      </c>
      <c r="BP17" s="3">
        <v>28</v>
      </c>
      <c r="BQ17" s="3">
        <v>21</v>
      </c>
      <c r="BR17" s="3">
        <v>12</v>
      </c>
      <c r="BS17" s="3">
        <v>3</v>
      </c>
      <c r="BT17" s="3">
        <v>6</v>
      </c>
      <c r="BU17" s="3">
        <v>18</v>
      </c>
      <c r="BV17" s="3">
        <v>16</v>
      </c>
      <c r="BW17" s="3">
        <v>29</v>
      </c>
      <c r="BX17" s="3">
        <v>2</v>
      </c>
      <c r="BY17" s="3">
        <v>4</v>
      </c>
      <c r="BZ17" s="3">
        <v>2</v>
      </c>
      <c r="CA17" s="3">
        <v>24</v>
      </c>
      <c r="CB17" s="3">
        <v>15</v>
      </c>
      <c r="CC17" s="3">
        <v>16</v>
      </c>
      <c r="CD17" s="3">
        <v>12</v>
      </c>
      <c r="CE17" s="3">
        <v>13</v>
      </c>
      <c r="CF17" s="3">
        <v>1</v>
      </c>
      <c r="CG17" s="3">
        <v>35</v>
      </c>
      <c r="CH17" s="3">
        <v>14</v>
      </c>
      <c r="CI17" s="3">
        <v>2</v>
      </c>
      <c r="CJ17" s="3">
        <v>6</v>
      </c>
      <c r="CK17" s="3">
        <v>2</v>
      </c>
      <c r="CL17" s="3">
        <v>55</v>
      </c>
      <c r="CM17" s="3">
        <v>7</v>
      </c>
      <c r="CN17" s="3">
        <v>6</v>
      </c>
      <c r="CO17" s="3">
        <v>10</v>
      </c>
      <c r="CP17" s="3">
        <v>9</v>
      </c>
    </row>
    <row r="18" spans="1:94">
      <c r="A18" s="3">
        <v>155627</v>
      </c>
      <c r="B18" s="5">
        <v>12</v>
      </c>
      <c r="C18" s="4">
        <v>4</v>
      </c>
      <c r="D18" s="5" t="s">
        <v>96</v>
      </c>
      <c r="E18" s="5" t="s">
        <v>98</v>
      </c>
      <c r="F18" s="5">
        <f t="shared" si="0"/>
        <v>20.100000000000001</v>
      </c>
      <c r="G18" s="5" t="str" cm="1">
        <f t="array" ref="G18">_xlfn.IFS(F18&lt;24.9,"B List",F18&lt;45,"Supporting",F18&gt;=45,"A List")</f>
        <v>B List</v>
      </c>
      <c r="H18" s="26">
        <f t="shared" si="1"/>
        <v>88000</v>
      </c>
      <c r="I18" s="26">
        <f t="shared" si="2"/>
        <v>7333.333333333333</v>
      </c>
      <c r="J18" s="28">
        <f t="shared" si="3"/>
        <v>8.9001854436723438</v>
      </c>
      <c r="K18" s="5">
        <v>0</v>
      </c>
      <c r="L18" s="26" cm="1">
        <f t="array" ref="L18">_xlfn.IFS(G18="A List",_xlfn.XLOOKUP(E18,$B$39:$F$39,$B$40:$F$40),G18="Supporting",_xlfn.XLOOKUP(E18,$I$39:$M$39,$I$40:$M$40),G18="B List",_xlfn.XLOOKUP(E18,$P$39:$T$39,$P$40:$T$40))</f>
        <v>350000</v>
      </c>
      <c r="M18" s="3">
        <v>2</v>
      </c>
      <c r="N18" s="27" cm="1">
        <f t="array" ref="N18">_xlfn.IFS(G18="A List",_xlfn.XLOOKUP(E18,$B$39:$F$39,$B$43:$F$43),G18="Supporting",_xlfn.XLOOKUP(E18,$I$39:$M$39,$I$43:$M$43),G18="B List",_xlfn.XLOOKUP(E18,$P$39:$T$39,$P$43:$T$43))</f>
        <v>20000</v>
      </c>
      <c r="O18" s="3">
        <v>1</v>
      </c>
      <c r="P18" s="27" cm="1">
        <f t="array" ref="P18">_xlfn.IFS(G18="A List",_xlfn.XLOOKUP(E18,$B$39:$F$39,$B$45:$F$45),G18="Supporting",_xlfn.XLOOKUP(E18,$I$39:$M$39,$I$45:$M$45),G18="B List",_xlfn.XLOOKUP(E18,$P$39:$T$39,$P$45:$T$45))</f>
        <v>12000</v>
      </c>
      <c r="Q18" s="3">
        <v>2</v>
      </c>
      <c r="R18" s="27" cm="1">
        <f t="array" ref="R18">_xlfn.IFS(G18="A List",_xlfn.XLOOKUP(E18,$B$39:$F$39,$B$44:$F$44),G18="Supporting",_xlfn.XLOOKUP(E18,$I$39:$M$39,$I$44:$M$44),G18="B List",_xlfn.XLOOKUP(E18,$P$39:$T$39,$P$44:$T$44))</f>
        <v>18000</v>
      </c>
      <c r="S18" s="3">
        <v>0</v>
      </c>
      <c r="T18" s="27" cm="1">
        <f t="array" ref="T18">_xlfn.IFS(G18="A List",_xlfn.XLOOKUP(E18,$B$39:$F$39,$B$41:$F$41),G18="Supporting",_xlfn.XLOOKUP(E18,$I$39:$M$39,$I$41:$M$41),G18="B List",_xlfn.XLOOKUP(E18,$P$39:$T$39,$P$41:$T$41))</f>
        <v>0</v>
      </c>
      <c r="U18" s="3">
        <v>0</v>
      </c>
      <c r="V18" s="27" cm="1">
        <f t="array" ref="V18">_xlfn.IFS(G18="A List",_xlfn.XLOOKUP(E18,$B$39:$F$39,$B$42:$F$42),G18="Supporting",_xlfn.XLOOKUP(E18,$I$39:$M$39,$I$42:$M$42),G18="B List",_xlfn.XLOOKUP(E18,$P$39:$T$39,$P$42:$T$42))</f>
        <v>0</v>
      </c>
      <c r="W18" s="3">
        <v>0</v>
      </c>
      <c r="X18" s="27" cm="1">
        <f t="array" ref="X18">_xlfn.IFS(G18="A List",_xlfn.XLOOKUP(E18,$B$39:$F$39,$B$46:$F$46),G18="Supporting",_xlfn.XLOOKUP(E18,$I$39:$M$39,$I$46:$M$46),G18="B List",_xlfn.XLOOKUP(E18,$P$39:$T$39,$P$46:$T$46))</f>
        <v>60</v>
      </c>
      <c r="Y18" s="3">
        <v>80</v>
      </c>
      <c r="Z18" s="3">
        <v>28</v>
      </c>
      <c r="AA18" s="3">
        <v>36</v>
      </c>
      <c r="AB18" s="3">
        <v>37</v>
      </c>
      <c r="AC18" s="3">
        <v>9</v>
      </c>
      <c r="AD18" s="3">
        <v>11</v>
      </c>
      <c r="AE18" s="3">
        <v>6</v>
      </c>
      <c r="AF18" s="3">
        <v>92</v>
      </c>
      <c r="AG18" s="3">
        <v>68</v>
      </c>
      <c r="AH18" s="3">
        <v>32</v>
      </c>
      <c r="AI18" s="3">
        <v>35</v>
      </c>
      <c r="AJ18" s="3">
        <v>24</v>
      </c>
      <c r="AK18" s="3">
        <v>5</v>
      </c>
      <c r="AL18" s="3">
        <v>3</v>
      </c>
      <c r="AM18" s="3">
        <v>0</v>
      </c>
      <c r="AN18" s="3">
        <v>3</v>
      </c>
      <c r="AO18" s="3">
        <v>8</v>
      </c>
      <c r="AP18" s="3">
        <v>51</v>
      </c>
      <c r="AQ18" s="3">
        <v>20</v>
      </c>
      <c r="AR18" s="3">
        <v>31</v>
      </c>
      <c r="AS18" s="3">
        <v>45</v>
      </c>
      <c r="AT18" s="3">
        <v>3</v>
      </c>
      <c r="AU18" s="3">
        <v>1</v>
      </c>
      <c r="AV18" s="3">
        <v>3</v>
      </c>
      <c r="AW18" s="3">
        <v>50</v>
      </c>
      <c r="AX18" s="3">
        <v>44</v>
      </c>
      <c r="AY18" s="3">
        <v>6</v>
      </c>
      <c r="AZ18" s="3">
        <v>42</v>
      </c>
      <c r="BA18" s="3">
        <v>31</v>
      </c>
      <c r="BB18" s="3">
        <v>19</v>
      </c>
      <c r="BC18" s="3">
        <v>8</v>
      </c>
      <c r="BD18" s="3">
        <v>1</v>
      </c>
      <c r="BE18" s="3">
        <v>3</v>
      </c>
      <c r="BF18" s="3">
        <v>8</v>
      </c>
      <c r="BG18" s="3">
        <v>9</v>
      </c>
      <c r="BH18" s="3">
        <v>30</v>
      </c>
      <c r="BI18" s="3">
        <v>25</v>
      </c>
      <c r="BJ18" s="3">
        <v>3</v>
      </c>
      <c r="BK18" s="3">
        <v>5</v>
      </c>
      <c r="BL18" s="3">
        <v>7</v>
      </c>
      <c r="BM18" s="3">
        <v>10</v>
      </c>
      <c r="BN18" s="3">
        <v>3</v>
      </c>
      <c r="BO18" s="3">
        <v>5</v>
      </c>
      <c r="BP18" s="3">
        <v>25</v>
      </c>
      <c r="BQ18" s="3">
        <v>19</v>
      </c>
      <c r="BR18" s="3">
        <v>9</v>
      </c>
      <c r="BS18" s="3">
        <v>15</v>
      </c>
      <c r="BT18" s="3">
        <v>9</v>
      </c>
      <c r="BU18" s="3">
        <v>9</v>
      </c>
      <c r="BV18" s="3">
        <v>14</v>
      </c>
      <c r="BW18" s="3">
        <v>22</v>
      </c>
      <c r="BX18" s="3">
        <v>2</v>
      </c>
      <c r="BY18" s="3">
        <v>8</v>
      </c>
      <c r="BZ18" s="3">
        <v>12</v>
      </c>
      <c r="CA18" s="3">
        <v>20</v>
      </c>
      <c r="CB18" s="3">
        <v>14</v>
      </c>
      <c r="CC18" s="3">
        <v>12</v>
      </c>
      <c r="CD18" s="3">
        <v>12</v>
      </c>
      <c r="CE18" s="3">
        <v>16</v>
      </c>
      <c r="CF18" s="3">
        <v>2</v>
      </c>
      <c r="CG18" s="3">
        <v>29</v>
      </c>
      <c r="CH18" s="3">
        <v>5</v>
      </c>
      <c r="CI18" s="3">
        <v>15</v>
      </c>
      <c r="CJ18" s="3">
        <v>5</v>
      </c>
      <c r="CK18" s="3">
        <v>8</v>
      </c>
      <c r="CL18" s="3">
        <v>34</v>
      </c>
      <c r="CM18" s="3">
        <v>6</v>
      </c>
      <c r="CN18" s="3">
        <v>5</v>
      </c>
      <c r="CO18" s="3">
        <v>9</v>
      </c>
      <c r="CP18" s="3">
        <v>6</v>
      </c>
    </row>
    <row r="19" spans="1:94">
      <c r="A19" s="3">
        <v>583792</v>
      </c>
      <c r="B19" s="5">
        <v>24</v>
      </c>
      <c r="C19" s="4">
        <v>8</v>
      </c>
      <c r="D19" s="5" t="s">
        <v>96</v>
      </c>
      <c r="E19" s="5" t="s">
        <v>101</v>
      </c>
      <c r="F19" s="5">
        <f t="shared" si="0"/>
        <v>19.600000000000001</v>
      </c>
      <c r="G19" s="5" t="str" cm="1">
        <f t="array" ref="G19">_xlfn.IFS(F19&lt;24.9,"B List",F19&lt;45,"Supporting",F19&gt;=45,"A List")</f>
        <v>B List</v>
      </c>
      <c r="H19" s="26">
        <f t="shared" si="1"/>
        <v>586000</v>
      </c>
      <c r="I19" s="26">
        <f t="shared" si="2"/>
        <v>24416.666666666668</v>
      </c>
      <c r="J19" s="28">
        <f t="shared" si="3"/>
        <v>10.103021238211204</v>
      </c>
      <c r="K19" s="5">
        <v>1</v>
      </c>
      <c r="L19" s="26" cm="1">
        <f t="array" ref="L19">_xlfn.IFS(G19="A List",_xlfn.XLOOKUP(E19,$B$39:$F$39,$B$40:$F$40),G19="Supporting",_xlfn.XLOOKUP(E19,$I$39:$M$39,$I$40:$M$40),G19="B List",_xlfn.XLOOKUP(E19,$P$39:$T$39,$P$40:$T$40))</f>
        <v>350000</v>
      </c>
      <c r="M19" s="3">
        <v>2</v>
      </c>
      <c r="N19" s="27" cm="1">
        <f t="array" ref="N19">_xlfn.IFS(G19="A List",_xlfn.XLOOKUP(E19,$B$39:$F$39,$B$43:$F$43),G19="Supporting",_xlfn.XLOOKUP(E19,$I$39:$M$39,$I$43:$M$43),G19="B List",_xlfn.XLOOKUP(E19,$P$39:$T$39,$P$43:$T$43))</f>
        <v>25000</v>
      </c>
      <c r="O19" s="3">
        <v>6</v>
      </c>
      <c r="P19" s="27" cm="1">
        <f t="array" ref="P19">_xlfn.IFS(G19="A List",_xlfn.XLOOKUP(E19,$B$39:$F$39,$B$45:$F$45),G19="Supporting",_xlfn.XLOOKUP(E19,$I$39:$M$39,$I$45:$M$45),G19="B List",_xlfn.XLOOKUP(E19,$P$39:$T$39,$P$45:$T$45))</f>
        <v>10000</v>
      </c>
      <c r="Q19" s="3">
        <v>4</v>
      </c>
      <c r="R19" s="27" cm="1">
        <f t="array" ref="R19">_xlfn.IFS(G19="A List",_xlfn.XLOOKUP(E19,$B$39:$F$39,$B$44:$F$44),G19="Supporting",_xlfn.XLOOKUP(E19,$I$39:$M$39,$I$44:$M$44),G19="B List",_xlfn.XLOOKUP(E19,$P$39:$T$39,$P$44:$T$44))</f>
        <v>10000</v>
      </c>
      <c r="S19" s="3">
        <v>1</v>
      </c>
      <c r="T19" s="27" cm="1">
        <f t="array" ref="T19">_xlfn.IFS(G19="A List",_xlfn.XLOOKUP(E19,$B$39:$F$39,$B$41:$F$41),G19="Supporting",_xlfn.XLOOKUP(E19,$I$39:$M$39,$I$41:$M$41),G19="B List",_xlfn.XLOOKUP(E19,$P$39:$T$39,$P$41:$T$41))</f>
        <v>50000</v>
      </c>
      <c r="U19" s="3">
        <v>0</v>
      </c>
      <c r="V19" s="27" cm="1">
        <f t="array" ref="V19">_xlfn.IFS(G19="A List",_xlfn.XLOOKUP(E19,$B$39:$F$39,$B$42:$F$42),G19="Supporting",_xlfn.XLOOKUP(E19,$I$39:$M$39,$I$42:$M$42),G19="B List",_xlfn.XLOOKUP(E19,$P$39:$T$39,$P$42:$T$42))</f>
        <v>0</v>
      </c>
      <c r="W19" s="3">
        <v>800</v>
      </c>
      <c r="X19" s="27" cm="1">
        <f t="array" ref="X19">_xlfn.IFS(G19="A List",_xlfn.XLOOKUP(E19,$B$39:$F$39,$B$46:$F$46),G19="Supporting",_xlfn.XLOOKUP(E19,$I$39:$M$39,$I$46:$M$46),G19="B List",_xlfn.XLOOKUP(E19,$P$39:$T$39,$P$46:$T$46))</f>
        <v>45</v>
      </c>
      <c r="Y19" s="3">
        <v>57</v>
      </c>
      <c r="Z19" s="3">
        <v>29</v>
      </c>
      <c r="AA19" s="3">
        <v>37</v>
      </c>
      <c r="AB19" s="3">
        <v>46</v>
      </c>
      <c r="AC19" s="3">
        <v>7</v>
      </c>
      <c r="AD19" s="3">
        <v>7</v>
      </c>
      <c r="AE19" s="3">
        <v>8</v>
      </c>
      <c r="AF19" s="3">
        <v>86</v>
      </c>
      <c r="AG19" s="3">
        <v>63</v>
      </c>
      <c r="AH19" s="3">
        <v>45</v>
      </c>
      <c r="AI19" s="3">
        <v>19</v>
      </c>
      <c r="AJ19" s="3">
        <v>22</v>
      </c>
      <c r="AK19" s="3">
        <v>9</v>
      </c>
      <c r="AL19" s="3">
        <v>4</v>
      </c>
      <c r="AM19" s="3">
        <v>2</v>
      </c>
      <c r="AN19" s="3">
        <v>6</v>
      </c>
      <c r="AO19" s="3">
        <v>14</v>
      </c>
      <c r="AP19" s="3">
        <v>57</v>
      </c>
      <c r="AQ19" s="3">
        <v>26</v>
      </c>
      <c r="AR19" s="3">
        <v>31</v>
      </c>
      <c r="AS19" s="3">
        <v>31</v>
      </c>
      <c r="AT19" s="3">
        <v>6</v>
      </c>
      <c r="AU19" s="3">
        <v>6</v>
      </c>
      <c r="AV19" s="3">
        <v>12</v>
      </c>
      <c r="AW19" s="3">
        <v>53</v>
      </c>
      <c r="AX19" s="3">
        <v>29</v>
      </c>
      <c r="AY19" s="3">
        <v>18</v>
      </c>
      <c r="AZ19" s="3">
        <v>59</v>
      </c>
      <c r="BA19" s="3">
        <v>37</v>
      </c>
      <c r="BB19" s="3">
        <v>32</v>
      </c>
      <c r="BC19" s="3">
        <v>13</v>
      </c>
      <c r="BD19" s="3">
        <v>10</v>
      </c>
      <c r="BE19" s="3">
        <v>8</v>
      </c>
      <c r="BF19" s="3">
        <v>9</v>
      </c>
      <c r="BG19" s="3">
        <v>9</v>
      </c>
      <c r="BH19" s="3">
        <v>5</v>
      </c>
      <c r="BI19" s="3">
        <v>4</v>
      </c>
      <c r="BJ19" s="3">
        <v>8</v>
      </c>
      <c r="BK19" s="3">
        <v>10</v>
      </c>
      <c r="BL19" s="3">
        <v>6</v>
      </c>
      <c r="BM19" s="3">
        <v>12</v>
      </c>
      <c r="BN19" s="3">
        <v>7</v>
      </c>
      <c r="BO19" s="3">
        <v>3</v>
      </c>
      <c r="BP19" s="3">
        <v>18</v>
      </c>
      <c r="BQ19" s="3">
        <v>22</v>
      </c>
      <c r="BR19" s="3">
        <v>7</v>
      </c>
      <c r="BS19" s="3">
        <v>3</v>
      </c>
      <c r="BT19" s="3">
        <v>10</v>
      </c>
      <c r="BU19" s="3">
        <v>11</v>
      </c>
      <c r="BV19" s="3">
        <v>15</v>
      </c>
      <c r="BW19" s="3">
        <v>7</v>
      </c>
      <c r="BX19" s="3">
        <v>14</v>
      </c>
      <c r="BY19" s="3">
        <v>44</v>
      </c>
      <c r="BZ19" s="3">
        <v>6</v>
      </c>
      <c r="CA19" s="3">
        <v>21</v>
      </c>
      <c r="CB19" s="3">
        <v>8</v>
      </c>
      <c r="CC19" s="3">
        <v>9</v>
      </c>
      <c r="CD19" s="3">
        <v>10</v>
      </c>
      <c r="CE19" s="3">
        <v>14</v>
      </c>
      <c r="CF19" s="3">
        <v>6</v>
      </c>
      <c r="CG19" s="3">
        <v>2</v>
      </c>
      <c r="CH19" s="3">
        <v>12</v>
      </c>
      <c r="CI19" s="3">
        <v>3</v>
      </c>
      <c r="CJ19" s="3">
        <v>7</v>
      </c>
      <c r="CK19" s="3">
        <v>5</v>
      </c>
      <c r="CL19" s="3">
        <v>18</v>
      </c>
      <c r="CM19" s="3">
        <v>1</v>
      </c>
      <c r="CN19" s="3">
        <v>4</v>
      </c>
      <c r="CO19" s="3">
        <v>14</v>
      </c>
      <c r="CP19" s="3">
        <v>9</v>
      </c>
    </row>
    <row r="20" spans="1:94">
      <c r="A20" s="3">
        <v>303824</v>
      </c>
      <c r="B20" s="5">
        <v>24</v>
      </c>
      <c r="C20" s="4">
        <v>30</v>
      </c>
      <c r="D20" s="5" t="s">
        <v>96</v>
      </c>
      <c r="E20" s="5" t="s">
        <v>98</v>
      </c>
      <c r="F20" s="5">
        <f t="shared" si="0"/>
        <v>19.2</v>
      </c>
      <c r="G20" s="5" t="str" cm="1">
        <f t="array" ref="G20">_xlfn.IFS(F20&lt;24.9,"B List",F20&lt;45,"Supporting",F20&gt;=45,"A List")</f>
        <v>B List</v>
      </c>
      <c r="H20" s="26">
        <f t="shared" si="1"/>
        <v>116000</v>
      </c>
      <c r="I20" s="26">
        <f t="shared" si="2"/>
        <v>4833.333333333333</v>
      </c>
      <c r="J20" s="28">
        <f t="shared" si="3"/>
        <v>8.4832916397405569</v>
      </c>
      <c r="K20" s="5">
        <v>0</v>
      </c>
      <c r="L20" s="26" cm="1">
        <f t="array" ref="L20">_xlfn.IFS(G20="A List",_xlfn.XLOOKUP(E20,$B$39:$F$39,$B$40:$F$40),G20="Supporting",_xlfn.XLOOKUP(E20,$I$39:$M$39,$I$40:$M$40),G20="B List",_xlfn.XLOOKUP(E20,$P$39:$T$39,$P$40:$T$40))</f>
        <v>350000</v>
      </c>
      <c r="M20" s="3">
        <v>1</v>
      </c>
      <c r="N20" s="27" cm="1">
        <f t="array" ref="N20">_xlfn.IFS(G20="A List",_xlfn.XLOOKUP(E20,$B$39:$F$39,$B$43:$F$43),G20="Supporting",_xlfn.XLOOKUP(E20,$I$39:$M$39,$I$43:$M$43),G20="B List",_xlfn.XLOOKUP(E20,$P$39:$T$39,$P$43:$T$43))</f>
        <v>20000</v>
      </c>
      <c r="O20" s="3">
        <v>8</v>
      </c>
      <c r="P20" s="27" cm="1">
        <f t="array" ref="P20">_xlfn.IFS(G20="A List",_xlfn.XLOOKUP(E20,$B$39:$F$39,$B$45:$F$45),G20="Supporting",_xlfn.XLOOKUP(E20,$I$39:$M$39,$I$45:$M$45),G20="B List",_xlfn.XLOOKUP(E20,$P$39:$T$39,$P$45:$T$45))</f>
        <v>12000</v>
      </c>
      <c r="Q20" s="3">
        <v>0</v>
      </c>
      <c r="R20" s="27" cm="1">
        <f t="array" ref="R20">_xlfn.IFS(G20="A List",_xlfn.XLOOKUP(E20,$B$39:$F$39,$B$44:$F$44),G20="Supporting",_xlfn.XLOOKUP(E20,$I$39:$M$39,$I$44:$M$44),G20="B List",_xlfn.XLOOKUP(E20,$P$39:$T$39,$P$44:$T$44))</f>
        <v>18000</v>
      </c>
      <c r="S20" s="3">
        <v>0</v>
      </c>
      <c r="T20" s="27" cm="1">
        <f t="array" ref="T20">_xlfn.IFS(G20="A List",_xlfn.XLOOKUP(E20,$B$39:$F$39,$B$41:$F$41),G20="Supporting",_xlfn.XLOOKUP(E20,$I$39:$M$39,$I$41:$M$41),G20="B List",_xlfn.XLOOKUP(E20,$P$39:$T$39,$P$41:$T$41))</f>
        <v>0</v>
      </c>
      <c r="U20" s="3">
        <v>0</v>
      </c>
      <c r="V20" s="27" cm="1">
        <f t="array" ref="V20">_xlfn.IFS(G20="A List",_xlfn.XLOOKUP(E20,$B$39:$F$39,$B$42:$F$42),G20="Supporting",_xlfn.XLOOKUP(E20,$I$39:$M$39,$I$42:$M$42),G20="B List",_xlfn.XLOOKUP(E20,$P$39:$T$39,$P$42:$T$42))</f>
        <v>0</v>
      </c>
      <c r="W20" s="3">
        <v>0</v>
      </c>
      <c r="X20" s="27" cm="1">
        <f t="array" ref="X20">_xlfn.IFS(G20="A List",_xlfn.XLOOKUP(E20,$B$39:$F$39,$B$46:$F$46),G20="Supporting",_xlfn.XLOOKUP(E20,$I$39:$M$39,$I$46:$M$46),G20="B List",_xlfn.XLOOKUP(E20,$P$39:$T$39,$P$46:$T$46))</f>
        <v>60</v>
      </c>
      <c r="Y20" s="3">
        <v>74</v>
      </c>
      <c r="Z20" s="3">
        <v>27</v>
      </c>
      <c r="AA20" s="3">
        <v>33</v>
      </c>
      <c r="AB20" s="3">
        <v>32</v>
      </c>
      <c r="AC20" s="3">
        <v>9</v>
      </c>
      <c r="AD20" s="3">
        <v>11</v>
      </c>
      <c r="AE20" s="3">
        <v>7</v>
      </c>
      <c r="AF20" s="3">
        <v>93</v>
      </c>
      <c r="AG20" s="3">
        <v>60</v>
      </c>
      <c r="AH20" s="3">
        <v>29</v>
      </c>
      <c r="AI20" s="3">
        <v>31</v>
      </c>
      <c r="AJ20" s="3">
        <v>32</v>
      </c>
      <c r="AK20" s="3">
        <v>4</v>
      </c>
      <c r="AL20" s="3">
        <v>1</v>
      </c>
      <c r="AM20" s="3">
        <v>2</v>
      </c>
      <c r="AN20" s="3">
        <v>3</v>
      </c>
      <c r="AO20" s="3">
        <v>7</v>
      </c>
      <c r="AP20" s="3">
        <v>43</v>
      </c>
      <c r="AQ20" s="3">
        <v>16</v>
      </c>
      <c r="AR20" s="3">
        <v>26</v>
      </c>
      <c r="AS20" s="3">
        <v>51</v>
      </c>
      <c r="AT20" s="3">
        <v>4</v>
      </c>
      <c r="AU20" s="3">
        <v>2</v>
      </c>
      <c r="AV20" s="3">
        <v>6</v>
      </c>
      <c r="AW20" s="3">
        <v>43</v>
      </c>
      <c r="AX20" s="3">
        <v>49</v>
      </c>
      <c r="AY20" s="3">
        <v>8</v>
      </c>
      <c r="AZ20" s="3">
        <v>32</v>
      </c>
      <c r="BA20" s="3">
        <v>18</v>
      </c>
      <c r="BB20" s="3">
        <v>16</v>
      </c>
      <c r="BC20" s="3">
        <v>3</v>
      </c>
      <c r="BD20" s="3">
        <v>12</v>
      </c>
      <c r="BE20" s="3">
        <v>4</v>
      </c>
      <c r="BF20" s="3">
        <v>14</v>
      </c>
      <c r="BG20" s="3">
        <v>7</v>
      </c>
      <c r="BH20" s="3">
        <v>2</v>
      </c>
      <c r="BI20" s="3">
        <v>3</v>
      </c>
      <c r="BJ20" s="3">
        <v>2</v>
      </c>
      <c r="BK20" s="3">
        <v>5</v>
      </c>
      <c r="BL20" s="3">
        <v>7</v>
      </c>
      <c r="BM20" s="3">
        <v>6</v>
      </c>
      <c r="BN20" s="3">
        <v>2</v>
      </c>
      <c r="BO20" s="3">
        <v>4</v>
      </c>
      <c r="BP20" s="3">
        <v>28</v>
      </c>
      <c r="BQ20" s="3">
        <v>30</v>
      </c>
      <c r="BR20" s="3">
        <v>11</v>
      </c>
      <c r="BS20" s="3">
        <v>2</v>
      </c>
      <c r="BT20" s="3">
        <v>6</v>
      </c>
      <c r="BU20" s="3">
        <v>16</v>
      </c>
      <c r="BV20" s="3">
        <v>28</v>
      </c>
      <c r="BW20" s="3">
        <v>23</v>
      </c>
      <c r="BX20" s="3">
        <v>5</v>
      </c>
      <c r="BY20" s="3">
        <v>16</v>
      </c>
      <c r="BZ20" s="3">
        <v>1</v>
      </c>
      <c r="CA20" s="3">
        <v>27</v>
      </c>
      <c r="CB20" s="3">
        <v>11</v>
      </c>
      <c r="CC20" s="3">
        <v>10</v>
      </c>
      <c r="CD20" s="3">
        <v>11</v>
      </c>
      <c r="CE20" s="3">
        <v>17</v>
      </c>
      <c r="CF20" s="3">
        <v>3</v>
      </c>
      <c r="CG20" s="3">
        <v>43</v>
      </c>
      <c r="CH20" s="3">
        <v>13</v>
      </c>
      <c r="CI20" s="3">
        <v>6</v>
      </c>
      <c r="CJ20" s="3">
        <v>10</v>
      </c>
      <c r="CK20" s="3">
        <v>1</v>
      </c>
      <c r="CL20" s="3">
        <v>43</v>
      </c>
      <c r="CM20" s="3">
        <v>3</v>
      </c>
      <c r="CN20" s="3">
        <v>7</v>
      </c>
      <c r="CO20" s="3">
        <v>8</v>
      </c>
      <c r="CP20" s="3">
        <v>13</v>
      </c>
    </row>
    <row r="21" spans="1:94">
      <c r="A21" s="3">
        <v>715535</v>
      </c>
      <c r="B21" s="5">
        <v>6</v>
      </c>
      <c r="C21" s="4">
        <v>25</v>
      </c>
      <c r="D21" s="5" t="s">
        <v>96</v>
      </c>
      <c r="E21" s="5" t="s">
        <v>98</v>
      </c>
      <c r="F21" s="5">
        <f t="shared" si="0"/>
        <v>18.599999999999998</v>
      </c>
      <c r="G21" s="5" t="str" cm="1">
        <f t="array" ref="G21">_xlfn.IFS(F21&lt;24.9,"B List",F21&lt;45,"Supporting",F21&gt;=45,"A List")</f>
        <v>B List</v>
      </c>
      <c r="H21" s="26">
        <f t="shared" si="1"/>
        <v>418000</v>
      </c>
      <c r="I21" s="26">
        <f t="shared" si="2"/>
        <v>69666.666666666672</v>
      </c>
      <c r="J21" s="28">
        <f t="shared" si="3"/>
        <v>11.151477242278839</v>
      </c>
      <c r="K21" s="5">
        <v>1</v>
      </c>
      <c r="L21" s="26" cm="1">
        <f t="array" ref="L21">_xlfn.IFS(G21="A List",_xlfn.XLOOKUP(E21,$B$39:$F$39,$B$40:$F$40),G21="Supporting",_xlfn.XLOOKUP(E21,$I$39:$M$39,$I$40:$M$40),G21="B List",_xlfn.XLOOKUP(E21,$P$39:$T$39,$P$40:$T$40))</f>
        <v>350000</v>
      </c>
      <c r="M21" s="3">
        <v>1</v>
      </c>
      <c r="N21" s="27" cm="1">
        <f t="array" ref="N21">_xlfn.IFS(G21="A List",_xlfn.XLOOKUP(E21,$B$39:$F$39,$B$43:$F$43),G21="Supporting",_xlfn.XLOOKUP(E21,$I$39:$M$39,$I$43:$M$43),G21="B List",_xlfn.XLOOKUP(E21,$P$39:$T$39,$P$43:$T$43))</f>
        <v>20000</v>
      </c>
      <c r="O21" s="3">
        <v>4</v>
      </c>
      <c r="P21" s="27" cm="1">
        <f t="array" ref="P21">_xlfn.IFS(G21="A List",_xlfn.XLOOKUP(E21,$B$39:$F$39,$B$45:$F$45),G21="Supporting",_xlfn.XLOOKUP(E21,$I$39:$M$39,$I$45:$M$45),G21="B List",_xlfn.XLOOKUP(E21,$P$39:$T$39,$P$45:$T$45))</f>
        <v>12000</v>
      </c>
      <c r="Q21" s="3">
        <v>0</v>
      </c>
      <c r="R21" s="27" cm="1">
        <f t="array" ref="R21">_xlfn.IFS(G21="A List",_xlfn.XLOOKUP(E21,$B$39:$F$39,$B$44:$F$44),G21="Supporting",_xlfn.XLOOKUP(E21,$I$39:$M$39,$I$44:$M$44),G21="B List",_xlfn.XLOOKUP(E21,$P$39:$T$39,$P$44:$T$44))</f>
        <v>18000</v>
      </c>
      <c r="S21" s="3">
        <v>0</v>
      </c>
      <c r="T21" s="27" cm="1">
        <f t="array" ref="T21">_xlfn.IFS(G21="A List",_xlfn.XLOOKUP(E21,$B$39:$F$39,$B$41:$F$41),G21="Supporting",_xlfn.XLOOKUP(E21,$I$39:$M$39,$I$41:$M$41),G21="B List",_xlfn.XLOOKUP(E21,$P$39:$T$39,$P$41:$T$41))</f>
        <v>0</v>
      </c>
      <c r="U21" s="3">
        <v>0</v>
      </c>
      <c r="V21" s="27" cm="1">
        <f t="array" ref="V21">_xlfn.IFS(G21="A List",_xlfn.XLOOKUP(E21,$B$39:$F$39,$B$42:$F$42),G21="Supporting",_xlfn.XLOOKUP(E21,$I$39:$M$39,$I$42:$M$42),G21="B List",_xlfn.XLOOKUP(E21,$P$39:$T$39,$P$42:$T$42))</f>
        <v>0</v>
      </c>
      <c r="W21" s="3">
        <v>0</v>
      </c>
      <c r="X21" s="27" cm="1">
        <f t="array" ref="X21">_xlfn.IFS(G21="A List",_xlfn.XLOOKUP(E21,$B$39:$F$39,$B$46:$F$46),G21="Supporting",_xlfn.XLOOKUP(E21,$I$39:$M$39,$I$46:$M$46),G21="B List",_xlfn.XLOOKUP(E21,$P$39:$T$39,$P$46:$T$46))</f>
        <v>60</v>
      </c>
      <c r="Y21" s="3">
        <v>74</v>
      </c>
      <c r="Z21" s="3">
        <v>23</v>
      </c>
      <c r="AA21" s="3">
        <v>26</v>
      </c>
      <c r="AB21" s="3">
        <v>46</v>
      </c>
      <c r="AC21" s="3">
        <v>13</v>
      </c>
      <c r="AD21" s="3">
        <v>15</v>
      </c>
      <c r="AE21" s="3">
        <v>10</v>
      </c>
      <c r="AF21" s="3">
        <v>82</v>
      </c>
      <c r="AG21" s="3">
        <v>48</v>
      </c>
      <c r="AH21" s="3">
        <v>24</v>
      </c>
      <c r="AI21" s="3">
        <v>24</v>
      </c>
      <c r="AJ21" s="3">
        <v>34</v>
      </c>
      <c r="AK21" s="3">
        <v>10</v>
      </c>
      <c r="AL21" s="3">
        <v>6</v>
      </c>
      <c r="AM21" s="3">
        <v>2</v>
      </c>
      <c r="AN21" s="3">
        <v>8</v>
      </c>
      <c r="AO21" s="3">
        <v>18</v>
      </c>
      <c r="AP21" s="3">
        <v>28</v>
      </c>
      <c r="AQ21" s="3">
        <v>13</v>
      </c>
      <c r="AR21" s="3">
        <v>15</v>
      </c>
      <c r="AS21" s="3">
        <v>63</v>
      </c>
      <c r="AT21" s="3">
        <v>4</v>
      </c>
      <c r="AU21" s="3">
        <v>6</v>
      </c>
      <c r="AV21" s="3">
        <v>9</v>
      </c>
      <c r="AW21" s="3">
        <v>31</v>
      </c>
      <c r="AX21" s="3">
        <v>50</v>
      </c>
      <c r="AY21" s="3">
        <v>20</v>
      </c>
      <c r="AZ21" s="3">
        <v>22</v>
      </c>
      <c r="BA21" s="3">
        <v>17</v>
      </c>
      <c r="BB21" s="3">
        <v>10</v>
      </c>
      <c r="BC21" s="3">
        <v>3</v>
      </c>
      <c r="BD21" s="3">
        <v>5</v>
      </c>
      <c r="BE21" s="3">
        <v>10</v>
      </c>
      <c r="BF21" s="3">
        <v>9</v>
      </c>
      <c r="BG21" s="3">
        <v>1</v>
      </c>
      <c r="BH21" s="3">
        <v>6</v>
      </c>
      <c r="BI21" s="3">
        <v>4</v>
      </c>
      <c r="BJ21" s="3">
        <v>4</v>
      </c>
      <c r="BK21" s="3">
        <v>4</v>
      </c>
      <c r="BL21" s="3">
        <v>4</v>
      </c>
      <c r="BM21" s="3">
        <v>3</v>
      </c>
      <c r="BN21" s="3">
        <v>4</v>
      </c>
      <c r="BO21" s="3">
        <v>6</v>
      </c>
      <c r="BP21" s="3">
        <v>30</v>
      </c>
      <c r="BQ21" s="3">
        <v>16</v>
      </c>
      <c r="BR21" s="3">
        <v>9</v>
      </c>
      <c r="BS21" s="3">
        <v>2</v>
      </c>
      <c r="BT21" s="3">
        <v>7</v>
      </c>
      <c r="BU21" s="3">
        <v>13</v>
      </c>
      <c r="BV21" s="3">
        <v>16</v>
      </c>
      <c r="BW21" s="3">
        <v>24</v>
      </c>
      <c r="BX21" s="3">
        <v>3</v>
      </c>
      <c r="BY21" s="3">
        <v>6</v>
      </c>
      <c r="BZ21" s="3">
        <v>2</v>
      </c>
      <c r="CA21" s="3">
        <v>16</v>
      </c>
      <c r="CB21" s="3">
        <v>8</v>
      </c>
      <c r="CC21" s="3">
        <v>5</v>
      </c>
      <c r="CD21" s="3">
        <v>9</v>
      </c>
      <c r="CE21" s="3">
        <v>9</v>
      </c>
      <c r="CF21" s="3">
        <v>3</v>
      </c>
      <c r="CG21" s="3">
        <v>24</v>
      </c>
      <c r="CH21" s="3">
        <v>10</v>
      </c>
      <c r="CI21" s="3">
        <v>2</v>
      </c>
      <c r="CJ21" s="3">
        <v>2</v>
      </c>
      <c r="CK21" s="3">
        <v>3</v>
      </c>
      <c r="CL21" s="3">
        <v>40</v>
      </c>
      <c r="CM21" s="3">
        <v>6</v>
      </c>
      <c r="CN21" s="3">
        <v>5</v>
      </c>
      <c r="CO21" s="3">
        <v>7</v>
      </c>
      <c r="CP21" s="3">
        <v>4</v>
      </c>
    </row>
    <row r="22" spans="1:94">
      <c r="A22" s="3">
        <v>384868</v>
      </c>
      <c r="B22" s="5">
        <v>12</v>
      </c>
      <c r="C22" s="4">
        <v>3</v>
      </c>
      <c r="D22" s="5" t="s">
        <v>96</v>
      </c>
      <c r="E22" s="5" t="s">
        <v>98</v>
      </c>
      <c r="F22" s="5">
        <f t="shared" si="0"/>
        <v>18.5</v>
      </c>
      <c r="G22" s="5" t="str" cm="1">
        <f t="array" ref="G22">_xlfn.IFS(F22&lt;24.9,"B List",F22&lt;45,"Supporting",F22&gt;=45,"A List")</f>
        <v>B List</v>
      </c>
      <c r="H22" s="26">
        <f t="shared" si="1"/>
        <v>112000</v>
      </c>
      <c r="I22" s="26">
        <f t="shared" si="2"/>
        <v>9333.3333333333339</v>
      </c>
      <c r="J22" s="28">
        <f t="shared" si="3"/>
        <v>9.1413475004892319</v>
      </c>
      <c r="K22" s="5">
        <v>0</v>
      </c>
      <c r="L22" s="26" cm="1">
        <f t="array" ref="L22">_xlfn.IFS(G22="A List",_xlfn.XLOOKUP(E22,$B$39:$F$39,$B$40:$F$40),G22="Supporting",_xlfn.XLOOKUP(E22,$I$39:$M$39,$I$40:$M$40),G22="B List",_xlfn.XLOOKUP(E22,$P$39:$T$39,$P$40:$T$40))</f>
        <v>350000</v>
      </c>
      <c r="M22" s="3">
        <v>2</v>
      </c>
      <c r="N22" s="27" cm="1">
        <f t="array" ref="N22">_xlfn.IFS(G22="A List",_xlfn.XLOOKUP(E22,$B$39:$F$39,$B$43:$F$43),G22="Supporting",_xlfn.XLOOKUP(E22,$I$39:$M$39,$I$43:$M$43),G22="B List",_xlfn.XLOOKUP(E22,$P$39:$T$39,$P$43:$T$43))</f>
        <v>20000</v>
      </c>
      <c r="O22" s="3">
        <v>0</v>
      </c>
      <c r="P22" s="27" cm="1">
        <f t="array" ref="P22">_xlfn.IFS(G22="A List",_xlfn.XLOOKUP(E22,$B$39:$F$39,$B$45:$F$45),G22="Supporting",_xlfn.XLOOKUP(E22,$I$39:$M$39,$I$45:$M$45),G22="B List",_xlfn.XLOOKUP(E22,$P$39:$T$39,$P$45:$T$45))</f>
        <v>12000</v>
      </c>
      <c r="Q22" s="3">
        <v>4</v>
      </c>
      <c r="R22" s="27" cm="1">
        <f t="array" ref="R22">_xlfn.IFS(G22="A List",_xlfn.XLOOKUP(E22,$B$39:$F$39,$B$44:$F$44),G22="Supporting",_xlfn.XLOOKUP(E22,$I$39:$M$39,$I$44:$M$44),G22="B List",_xlfn.XLOOKUP(E22,$P$39:$T$39,$P$44:$T$44))</f>
        <v>18000</v>
      </c>
      <c r="S22" s="3">
        <v>0</v>
      </c>
      <c r="T22" s="27" cm="1">
        <f t="array" ref="T22">_xlfn.IFS(G22="A List",_xlfn.XLOOKUP(E22,$B$39:$F$39,$B$41:$F$41),G22="Supporting",_xlfn.XLOOKUP(E22,$I$39:$M$39,$I$41:$M$41),G22="B List",_xlfn.XLOOKUP(E22,$P$39:$T$39,$P$41:$T$41))</f>
        <v>0</v>
      </c>
      <c r="U22" s="3">
        <v>0</v>
      </c>
      <c r="V22" s="27" cm="1">
        <f t="array" ref="V22">_xlfn.IFS(G22="A List",_xlfn.XLOOKUP(E22,$B$39:$F$39,$B$42:$F$42),G22="Supporting",_xlfn.XLOOKUP(E22,$I$39:$M$39,$I$42:$M$42),G22="B List",_xlfn.XLOOKUP(E22,$P$39:$T$39,$P$42:$T$42))</f>
        <v>0</v>
      </c>
      <c r="W22" s="3">
        <v>0</v>
      </c>
      <c r="X22" s="27" cm="1">
        <f t="array" ref="X22">_xlfn.IFS(G22="A List",_xlfn.XLOOKUP(E22,$B$39:$F$39,$B$46:$F$46),G22="Supporting",_xlfn.XLOOKUP(E22,$I$39:$M$39,$I$46:$M$46),G22="B List",_xlfn.XLOOKUP(E22,$P$39:$T$39,$P$46:$T$46))</f>
        <v>60</v>
      </c>
      <c r="Y22" s="3">
        <v>36</v>
      </c>
      <c r="Z22" s="3">
        <v>30</v>
      </c>
      <c r="AA22" s="3">
        <v>35</v>
      </c>
      <c r="AB22" s="3">
        <v>51</v>
      </c>
      <c r="AC22" s="3">
        <v>5</v>
      </c>
      <c r="AD22" s="3">
        <v>3</v>
      </c>
      <c r="AE22" s="3">
        <v>6</v>
      </c>
      <c r="AF22" s="3">
        <v>87</v>
      </c>
      <c r="AG22" s="3">
        <v>60</v>
      </c>
      <c r="AH22" s="3">
        <v>41</v>
      </c>
      <c r="AI22" s="3">
        <v>19</v>
      </c>
      <c r="AJ22" s="3">
        <v>27</v>
      </c>
      <c r="AK22" s="3">
        <v>7</v>
      </c>
      <c r="AL22" s="3">
        <v>4</v>
      </c>
      <c r="AM22" s="3">
        <v>2</v>
      </c>
      <c r="AN22" s="3">
        <v>5</v>
      </c>
      <c r="AO22" s="3">
        <v>13</v>
      </c>
      <c r="AP22" s="3">
        <v>70</v>
      </c>
      <c r="AQ22" s="3">
        <v>40</v>
      </c>
      <c r="AR22" s="3">
        <v>30</v>
      </c>
      <c r="AS22" s="3">
        <v>28</v>
      </c>
      <c r="AT22" s="3">
        <v>2</v>
      </c>
      <c r="AU22" s="3">
        <v>0</v>
      </c>
      <c r="AV22" s="3">
        <v>2</v>
      </c>
      <c r="AW22" s="3">
        <v>48</v>
      </c>
      <c r="AX22" s="3">
        <v>45</v>
      </c>
      <c r="AY22" s="3">
        <v>7</v>
      </c>
      <c r="AZ22" s="3">
        <v>65</v>
      </c>
      <c r="BA22" s="3">
        <v>41</v>
      </c>
      <c r="BB22" s="3">
        <v>37</v>
      </c>
      <c r="BC22" s="3">
        <v>8</v>
      </c>
      <c r="BD22" s="3">
        <v>0</v>
      </c>
      <c r="BE22" s="3">
        <v>3</v>
      </c>
      <c r="BF22" s="3">
        <v>14</v>
      </c>
      <c r="BG22" s="3">
        <v>2</v>
      </c>
      <c r="BH22" s="3">
        <v>9</v>
      </c>
      <c r="BI22" s="3">
        <v>12</v>
      </c>
      <c r="BJ22" s="3">
        <v>5</v>
      </c>
      <c r="BK22" s="3">
        <v>6</v>
      </c>
      <c r="BL22" s="3">
        <v>7</v>
      </c>
      <c r="BM22" s="3">
        <v>7</v>
      </c>
      <c r="BN22" s="3">
        <v>5</v>
      </c>
      <c r="BO22" s="3">
        <v>4</v>
      </c>
      <c r="BP22" s="3">
        <v>17</v>
      </c>
      <c r="BQ22" s="3">
        <v>22</v>
      </c>
      <c r="BR22" s="3">
        <v>19</v>
      </c>
      <c r="BS22" s="3">
        <v>8</v>
      </c>
      <c r="BT22" s="3">
        <v>7</v>
      </c>
      <c r="BU22" s="3">
        <v>10</v>
      </c>
      <c r="BV22" s="3">
        <v>12</v>
      </c>
      <c r="BW22" s="3">
        <v>14</v>
      </c>
      <c r="BX22" s="3">
        <v>2</v>
      </c>
      <c r="BY22" s="3">
        <v>5</v>
      </c>
      <c r="BZ22" s="3">
        <v>9</v>
      </c>
      <c r="CA22" s="3">
        <v>6</v>
      </c>
      <c r="CB22" s="3">
        <v>4</v>
      </c>
      <c r="CC22" s="3">
        <v>14</v>
      </c>
      <c r="CD22" s="3">
        <v>10</v>
      </c>
      <c r="CE22" s="3">
        <v>6</v>
      </c>
      <c r="CF22" s="3">
        <v>0</v>
      </c>
      <c r="CG22" s="3">
        <v>15</v>
      </c>
      <c r="CH22" s="3">
        <v>7</v>
      </c>
      <c r="CI22" s="3">
        <v>7</v>
      </c>
      <c r="CJ22" s="3">
        <v>2</v>
      </c>
      <c r="CK22" s="3">
        <v>10</v>
      </c>
      <c r="CL22" s="3">
        <v>14</v>
      </c>
      <c r="CM22" s="3">
        <v>5</v>
      </c>
      <c r="CN22" s="3">
        <v>3</v>
      </c>
      <c r="CO22" s="3">
        <v>4</v>
      </c>
      <c r="CP22" s="3">
        <v>3</v>
      </c>
    </row>
    <row r="23" spans="1:94">
      <c r="A23" s="3">
        <v>412740</v>
      </c>
      <c r="B23" s="5">
        <v>1</v>
      </c>
      <c r="C23" s="4">
        <v>250</v>
      </c>
      <c r="D23" s="5" t="s">
        <v>96</v>
      </c>
      <c r="E23" s="5" t="s">
        <v>99</v>
      </c>
      <c r="F23" s="5">
        <f t="shared" si="0"/>
        <v>18.5</v>
      </c>
      <c r="G23" s="5" t="str" cm="1">
        <f t="array" ref="G23">_xlfn.IFS(F23&lt;24.9,"B List",F23&lt;45,"Supporting",F23&gt;=45,"A List")</f>
        <v>B List</v>
      </c>
      <c r="H23" s="26">
        <f t="shared" si="1"/>
        <v>190000</v>
      </c>
      <c r="I23" s="26">
        <f t="shared" si="2"/>
        <v>190000</v>
      </c>
      <c r="J23" s="28">
        <f t="shared" si="3"/>
        <v>12.154779351142624</v>
      </c>
      <c r="K23" s="5">
        <v>0</v>
      </c>
      <c r="L23" s="26" cm="1">
        <f t="array" ref="L23">_xlfn.IFS(G23="A List",_xlfn.XLOOKUP(E23,$B$39:$F$39,$B$40:$F$40),G23="Supporting",_xlfn.XLOOKUP(E23,$I$39:$M$39,$I$40:$M$40),G23="B List",_xlfn.XLOOKUP(E23,$P$39:$T$39,$P$40:$T$40))</f>
        <v>350000</v>
      </c>
      <c r="M23" s="3">
        <v>0</v>
      </c>
      <c r="N23" s="27" cm="1">
        <f t="array" ref="N23">_xlfn.IFS(G23="A List",_xlfn.XLOOKUP(E23,$B$39:$F$39,$B$43:$F$43),G23="Supporting",_xlfn.XLOOKUP(E23,$I$39:$M$39,$I$43:$M$43),G23="B List",_xlfn.XLOOKUP(E23,$P$39:$T$39,$P$43:$T$43))</f>
        <v>25000</v>
      </c>
      <c r="O23" s="3">
        <v>1</v>
      </c>
      <c r="P23" s="27" cm="1">
        <f t="array" ref="P23">_xlfn.IFS(G23="A List",_xlfn.XLOOKUP(E23,$B$39:$F$39,$B$45:$F$45),G23="Supporting",_xlfn.XLOOKUP(E23,$I$39:$M$39,$I$45:$M$45),G23="B List",_xlfn.XLOOKUP(E23,$P$39:$T$39,$P$45:$T$45))</f>
        <v>15000</v>
      </c>
      <c r="Q23" s="3">
        <v>0</v>
      </c>
      <c r="R23" s="27" cm="1">
        <f t="array" ref="R23">_xlfn.IFS(G23="A List",_xlfn.XLOOKUP(E23,$B$39:$F$39,$B$44:$F$44),G23="Supporting",_xlfn.XLOOKUP(E23,$I$39:$M$39,$I$44:$M$44),G23="B List",_xlfn.XLOOKUP(E23,$P$39:$T$39,$P$44:$T$44))</f>
        <v>20000</v>
      </c>
      <c r="S23" s="3">
        <v>0</v>
      </c>
      <c r="T23" s="27" cm="1">
        <f t="array" ref="T23">_xlfn.IFS(G23="A List",_xlfn.XLOOKUP(E23,$B$39:$F$39,$B$41:$F$41),G23="Supporting",_xlfn.XLOOKUP(E23,$I$39:$M$39,$I$41:$M$41),G23="B List",_xlfn.XLOOKUP(E23,$P$39:$T$39,$P$41:$T$41))</f>
        <v>125000</v>
      </c>
      <c r="U23" s="3">
        <v>1</v>
      </c>
      <c r="V23" s="27" cm="1">
        <f t="array" ref="V23">_xlfn.IFS(G23="A List",_xlfn.XLOOKUP(E23,$B$39:$F$39,$B$42:$F$42),G23="Supporting",_xlfn.XLOOKUP(E23,$I$39:$M$39,$I$42:$M$42),G23="B List",_xlfn.XLOOKUP(E23,$P$39:$T$39,$P$42:$T$42))</f>
        <v>175000</v>
      </c>
      <c r="W23" s="3">
        <v>0</v>
      </c>
      <c r="X23" s="27" cm="1">
        <f t="array" ref="X23">_xlfn.IFS(G23="A List",_xlfn.XLOOKUP(E23,$B$39:$F$39,$B$46:$F$46),G23="Supporting",_xlfn.XLOOKUP(E23,$I$39:$M$39,$I$46:$M$46),G23="B List",_xlfn.XLOOKUP(E23,$P$39:$T$39,$P$46:$T$46))</f>
        <v>75</v>
      </c>
      <c r="Y23" s="3">
        <v>84</v>
      </c>
      <c r="Z23" s="3">
        <v>29</v>
      </c>
      <c r="AA23" s="3">
        <v>24</v>
      </c>
      <c r="AB23" s="3">
        <v>46</v>
      </c>
      <c r="AC23" s="3">
        <v>10</v>
      </c>
      <c r="AD23" s="3">
        <v>15</v>
      </c>
      <c r="AE23" s="3">
        <v>5</v>
      </c>
      <c r="AF23" s="3">
        <v>95</v>
      </c>
      <c r="AG23" s="3">
        <v>63</v>
      </c>
      <c r="AH23" s="3">
        <v>20</v>
      </c>
      <c r="AI23" s="3">
        <v>43</v>
      </c>
      <c r="AJ23" s="3">
        <v>32</v>
      </c>
      <c r="AK23" s="3">
        <v>4</v>
      </c>
      <c r="AL23" s="3">
        <v>1</v>
      </c>
      <c r="AM23" s="3">
        <v>0</v>
      </c>
      <c r="AN23" s="3">
        <v>1</v>
      </c>
      <c r="AO23" s="3">
        <v>5</v>
      </c>
      <c r="AP23" s="3">
        <v>35</v>
      </c>
      <c r="AQ23" s="3">
        <v>11</v>
      </c>
      <c r="AR23" s="3">
        <v>24</v>
      </c>
      <c r="AS23" s="3">
        <v>63</v>
      </c>
      <c r="AT23" s="3">
        <v>0</v>
      </c>
      <c r="AU23" s="3">
        <v>2</v>
      </c>
      <c r="AV23" s="3">
        <v>2</v>
      </c>
      <c r="AW23" s="3">
        <v>25</v>
      </c>
      <c r="AX23" s="3">
        <v>66</v>
      </c>
      <c r="AY23" s="3">
        <v>9</v>
      </c>
      <c r="AZ23" s="3">
        <v>24</v>
      </c>
      <c r="BA23" s="3">
        <v>18</v>
      </c>
      <c r="BB23" s="3">
        <v>13</v>
      </c>
      <c r="BC23" s="3">
        <v>1</v>
      </c>
      <c r="BD23" s="3">
        <v>0</v>
      </c>
      <c r="BE23" s="3">
        <v>0</v>
      </c>
      <c r="BF23" s="3">
        <v>7</v>
      </c>
      <c r="BG23" s="3">
        <v>4</v>
      </c>
      <c r="BH23" s="3">
        <v>6</v>
      </c>
      <c r="BI23" s="3">
        <v>3</v>
      </c>
      <c r="BJ23" s="3">
        <v>0</v>
      </c>
      <c r="BK23" s="3">
        <v>11</v>
      </c>
      <c r="BL23" s="3">
        <v>13</v>
      </c>
      <c r="BM23" s="3">
        <v>10</v>
      </c>
      <c r="BN23" s="3">
        <v>1</v>
      </c>
      <c r="BO23" s="3">
        <v>9</v>
      </c>
      <c r="BP23" s="3">
        <v>18</v>
      </c>
      <c r="BQ23" s="3">
        <v>30</v>
      </c>
      <c r="BR23" s="3">
        <v>11</v>
      </c>
      <c r="BS23" s="3">
        <v>6</v>
      </c>
      <c r="BT23" s="3">
        <v>16</v>
      </c>
      <c r="BU23" s="3">
        <v>18</v>
      </c>
      <c r="BV23" s="3">
        <v>22</v>
      </c>
      <c r="BW23" s="3">
        <v>20</v>
      </c>
      <c r="BX23" s="3">
        <v>1</v>
      </c>
      <c r="BY23" s="3">
        <v>3</v>
      </c>
      <c r="BZ23" s="3">
        <v>4</v>
      </c>
      <c r="CA23" s="3">
        <v>33</v>
      </c>
      <c r="CB23" s="3">
        <v>27</v>
      </c>
      <c r="CC23" s="3">
        <v>21</v>
      </c>
      <c r="CD23" s="3">
        <v>14</v>
      </c>
      <c r="CE23" s="3">
        <v>22</v>
      </c>
      <c r="CF23" s="3">
        <v>2</v>
      </c>
      <c r="CG23" s="3">
        <v>6</v>
      </c>
      <c r="CH23" s="3">
        <v>22</v>
      </c>
      <c r="CI23" s="3">
        <v>2</v>
      </c>
      <c r="CJ23" s="3">
        <v>9</v>
      </c>
      <c r="CK23" s="3">
        <v>9</v>
      </c>
      <c r="CL23" s="3">
        <v>52</v>
      </c>
      <c r="CM23" s="3">
        <v>18</v>
      </c>
      <c r="CN23" s="3">
        <v>5</v>
      </c>
      <c r="CO23" s="3">
        <v>24</v>
      </c>
      <c r="CP23" s="3">
        <v>11</v>
      </c>
    </row>
    <row r="24" spans="1:94">
      <c r="A24" s="3">
        <v>741587</v>
      </c>
      <c r="B24" s="3">
        <v>12</v>
      </c>
      <c r="C24" s="4">
        <v>15</v>
      </c>
      <c r="D24" s="5" t="s">
        <v>96</v>
      </c>
      <c r="E24" s="5" t="s">
        <v>97</v>
      </c>
      <c r="F24" s="5">
        <f t="shared" si="0"/>
        <v>18</v>
      </c>
      <c r="G24" s="5" t="str" cm="1">
        <f t="array" ref="G24">_xlfn.IFS(F24&lt;24.9,"B List",F24&lt;45,"Supporting",F24&gt;=45,"A List")</f>
        <v>B List</v>
      </c>
      <c r="H24" s="26">
        <f t="shared" si="1"/>
        <v>419000</v>
      </c>
      <c r="I24" s="26">
        <f t="shared" si="2"/>
        <v>34916.666666666664</v>
      </c>
      <c r="J24" s="28">
        <f t="shared" si="3"/>
        <v>10.460719549116275</v>
      </c>
      <c r="K24" s="5">
        <v>1</v>
      </c>
      <c r="L24" s="26" cm="1">
        <f t="array" ref="L24">_xlfn.IFS(G24="A List",_xlfn.XLOOKUP(E24,$B$39:$F$39,$B$40:$F$40),G24="Supporting",_xlfn.XLOOKUP(E24,$I$39:$M$39,$I$40:$M$40),G24="B List",_xlfn.XLOOKUP(E24,$P$39:$T$39,$P$40:$T$40))</f>
        <v>350000</v>
      </c>
      <c r="M24" s="3">
        <v>1</v>
      </c>
      <c r="N24" s="27" cm="1">
        <f t="array" ref="N24">_xlfn.IFS(G24="A List",_xlfn.XLOOKUP(E24,$B$39:$F$39,$B$43:$F$43),G24="Supporting",_xlfn.XLOOKUP(E24,$I$39:$M$39,$I$43:$M$43),G24="B List",_xlfn.XLOOKUP(E24,$P$39:$T$39,$P$43:$T$43))</f>
        <v>30000</v>
      </c>
      <c r="O24" s="3">
        <v>3</v>
      </c>
      <c r="P24" s="27" cm="1">
        <f t="array" ref="P24">_xlfn.IFS(G24="A List",_xlfn.XLOOKUP(E24,$B$39:$F$39,$B$45:$F$45),G24="Supporting",_xlfn.XLOOKUP(E24,$I$39:$M$39,$I$45:$M$45),G24="B List",_xlfn.XLOOKUP(E24,$P$39:$T$39,$P$45:$T$45))</f>
        <v>13000</v>
      </c>
      <c r="Q24" s="3">
        <v>0</v>
      </c>
      <c r="R24" s="27" cm="1">
        <f t="array" ref="R24">_xlfn.IFS(G24="A List",_xlfn.XLOOKUP(E24,$B$39:$F$39,$B$44:$F$44),G24="Supporting",_xlfn.XLOOKUP(E24,$I$39:$M$39,$I$44:$M$44),G24="B List",_xlfn.XLOOKUP(E24,$P$39:$T$39,$P$44:$T$44))</f>
        <v>15000</v>
      </c>
      <c r="S24" s="3">
        <v>0</v>
      </c>
      <c r="T24" s="27" cm="1">
        <f t="array" ref="T24">_xlfn.IFS(G24="A List",_xlfn.XLOOKUP(E24,$B$39:$F$39,$B$41:$F$41),G24="Supporting",_xlfn.XLOOKUP(E24,$I$39:$M$39,$I$41:$M$41),G24="B List",_xlfn.XLOOKUP(E24,$P$39:$T$39,$P$41:$T$41))</f>
        <v>0</v>
      </c>
      <c r="U24" s="3">
        <v>0</v>
      </c>
      <c r="V24" s="27" cm="1">
        <f t="array" ref="V24">_xlfn.IFS(G24="A List",_xlfn.XLOOKUP(E24,$B$39:$F$39,$B$42:$F$42),G24="Supporting",_xlfn.XLOOKUP(E24,$I$39:$M$39,$I$42:$M$42),G24="B List",_xlfn.XLOOKUP(E24,$P$39:$T$39,$P$42:$T$42))</f>
        <v>0</v>
      </c>
      <c r="W24" s="3">
        <v>0</v>
      </c>
      <c r="X24" s="27" cm="1">
        <f t="array" ref="X24">_xlfn.IFS(G24="A List",_xlfn.XLOOKUP(E24,$B$39:$F$39,$B$46:$F$46),G24="Supporting",_xlfn.XLOOKUP(E24,$I$39:$M$39,$I$46:$M$46),G24="B List",_xlfn.XLOOKUP(E24,$P$39:$T$39,$P$46:$T$46))</f>
        <v>0</v>
      </c>
      <c r="Y24" s="3">
        <v>77</v>
      </c>
      <c r="Z24" s="3">
        <v>26</v>
      </c>
      <c r="AA24" s="3">
        <v>31</v>
      </c>
      <c r="AB24" s="3">
        <v>31</v>
      </c>
      <c r="AC24" s="3">
        <v>8</v>
      </c>
      <c r="AD24" s="3">
        <v>10</v>
      </c>
      <c r="AE24" s="3">
        <v>7</v>
      </c>
      <c r="AF24" s="3">
        <v>95</v>
      </c>
      <c r="AG24" s="3">
        <v>65</v>
      </c>
      <c r="AH24" s="3">
        <v>30</v>
      </c>
      <c r="AI24" s="3">
        <v>35</v>
      </c>
      <c r="AJ24" s="3">
        <v>29</v>
      </c>
      <c r="AK24" s="3">
        <v>4</v>
      </c>
      <c r="AL24" s="3">
        <v>0</v>
      </c>
      <c r="AM24" s="3">
        <v>2</v>
      </c>
      <c r="AN24" s="3">
        <v>2</v>
      </c>
      <c r="AO24" s="3">
        <v>5</v>
      </c>
      <c r="AP24" s="3">
        <v>34</v>
      </c>
      <c r="AQ24" s="3">
        <v>13</v>
      </c>
      <c r="AR24" s="3">
        <v>21</v>
      </c>
      <c r="AS24" s="3">
        <v>63</v>
      </c>
      <c r="AT24" s="3">
        <v>0</v>
      </c>
      <c r="AU24" s="3">
        <v>4</v>
      </c>
      <c r="AV24" s="3">
        <v>4</v>
      </c>
      <c r="AW24" s="3">
        <v>40</v>
      </c>
      <c r="AX24" s="3">
        <v>49</v>
      </c>
      <c r="AY24" s="3">
        <v>11</v>
      </c>
      <c r="AZ24" s="3">
        <v>31</v>
      </c>
      <c r="BA24" s="3">
        <v>16</v>
      </c>
      <c r="BB24" s="3">
        <v>19</v>
      </c>
      <c r="BC24" s="3">
        <v>0</v>
      </c>
      <c r="BD24" s="3">
        <v>3</v>
      </c>
      <c r="BE24" s="3">
        <v>0</v>
      </c>
      <c r="BF24" s="3">
        <v>11</v>
      </c>
      <c r="BG24" s="3">
        <v>4</v>
      </c>
      <c r="BH24" s="3">
        <v>16</v>
      </c>
      <c r="BI24" s="3">
        <v>19</v>
      </c>
      <c r="BJ24" s="3">
        <v>1</v>
      </c>
      <c r="BK24" s="3">
        <v>5</v>
      </c>
      <c r="BL24" s="3">
        <v>14</v>
      </c>
      <c r="BM24" s="3">
        <v>15</v>
      </c>
      <c r="BN24" s="3">
        <v>4</v>
      </c>
      <c r="BO24" s="3">
        <v>12</v>
      </c>
      <c r="BP24" s="3">
        <v>40</v>
      </c>
      <c r="BQ24" s="3">
        <v>34</v>
      </c>
      <c r="BR24" s="3">
        <v>9</v>
      </c>
      <c r="BS24" s="3">
        <v>24</v>
      </c>
      <c r="BT24" s="3">
        <v>2</v>
      </c>
      <c r="BU24" s="3">
        <v>21</v>
      </c>
      <c r="BV24" s="3">
        <v>25</v>
      </c>
      <c r="BW24" s="3">
        <v>22</v>
      </c>
      <c r="BX24" s="3">
        <v>3</v>
      </c>
      <c r="BY24" s="3">
        <v>8</v>
      </c>
      <c r="BZ24" s="3">
        <v>9</v>
      </c>
      <c r="CA24" s="3">
        <v>25</v>
      </c>
      <c r="CB24" s="3">
        <v>13</v>
      </c>
      <c r="CC24" s="3">
        <v>19</v>
      </c>
      <c r="CD24" s="3">
        <v>13</v>
      </c>
      <c r="CE24" s="3">
        <v>18</v>
      </c>
      <c r="CF24" s="3">
        <v>4</v>
      </c>
      <c r="CG24" s="3">
        <v>37</v>
      </c>
      <c r="CH24" s="3">
        <v>12</v>
      </c>
      <c r="CI24" s="3">
        <v>4</v>
      </c>
      <c r="CJ24" s="3">
        <v>9</v>
      </c>
      <c r="CK24" s="3">
        <v>7</v>
      </c>
      <c r="CL24" s="3">
        <v>44</v>
      </c>
      <c r="CM24" s="3">
        <v>12</v>
      </c>
      <c r="CN24" s="3">
        <v>6</v>
      </c>
      <c r="CO24" s="3">
        <v>13</v>
      </c>
      <c r="CP24" s="3">
        <v>5</v>
      </c>
    </row>
    <row r="25" spans="1:94">
      <c r="A25" s="3">
        <v>300578</v>
      </c>
      <c r="B25" s="3">
        <v>24</v>
      </c>
      <c r="C25" s="4">
        <v>1</v>
      </c>
      <c r="D25" s="5" t="s">
        <v>96</v>
      </c>
      <c r="E25" s="5" t="s">
        <v>102</v>
      </c>
      <c r="F25" s="5">
        <f t="shared" si="0"/>
        <v>17.899999999999999</v>
      </c>
      <c r="G25" s="5" t="str" cm="1">
        <f t="array" ref="G25">_xlfn.IFS(F25&lt;24.9,"B List",F25&lt;45,"Supporting",F25&gt;=45,"A List")</f>
        <v>B List</v>
      </c>
      <c r="H25" s="26">
        <f t="shared" si="1"/>
        <v>184000</v>
      </c>
      <c r="I25" s="26">
        <f t="shared" si="2"/>
        <v>7666.666666666667</v>
      </c>
      <c r="J25" s="28">
        <f t="shared" si="3"/>
        <v>8.9446372062431774</v>
      </c>
      <c r="K25" s="5">
        <v>0</v>
      </c>
      <c r="L25" s="26" cm="1">
        <f t="array" ref="L25">_xlfn.IFS(G25="A List",_xlfn.XLOOKUP(E25,$B$39:$F$39,$B$40:$F$40),G25="Supporting",_xlfn.XLOOKUP(E25,$I$39:$M$39,$I$40:$M$40),G25="B List",_xlfn.XLOOKUP(E25,$P$39:$T$39,$P$40:$T$40))</f>
        <v>350000</v>
      </c>
      <c r="M25" s="3">
        <v>2</v>
      </c>
      <c r="N25" s="27" cm="1">
        <f t="array" ref="N25">_xlfn.IFS(G25="A List",_xlfn.XLOOKUP(E25,$B$39:$F$39,$B$43:$F$43),G25="Supporting",_xlfn.XLOOKUP(E25,$I$39:$M$39,$I$43:$M$43),G25="B List",_xlfn.XLOOKUP(E25,$P$39:$T$39,$P$43:$T$43))</f>
        <v>20000</v>
      </c>
      <c r="O25" s="3">
        <v>10</v>
      </c>
      <c r="P25" s="27" cm="1">
        <f t="array" ref="P25">_xlfn.IFS(G25="A List",_xlfn.XLOOKUP(E25,$B$39:$F$39,$B$45:$F$45),G25="Supporting",_xlfn.XLOOKUP(E25,$I$39:$M$39,$I$45:$M$45),G25="B List",_xlfn.XLOOKUP(E25,$P$39:$T$39,$P$45:$T$45))</f>
        <v>12000</v>
      </c>
      <c r="Q25" s="3">
        <v>2</v>
      </c>
      <c r="R25" s="27" cm="1">
        <f t="array" ref="R25">_xlfn.IFS(G25="A List",_xlfn.XLOOKUP(E25,$B$39:$F$39,$B$44:$F$44),G25="Supporting",_xlfn.XLOOKUP(E25,$I$39:$M$39,$I$44:$M$44),G25="B List",_xlfn.XLOOKUP(E25,$P$39:$T$39,$P$44:$T$44))</f>
        <v>12000</v>
      </c>
      <c r="S25" s="3">
        <v>0</v>
      </c>
      <c r="T25" s="27" cm="1">
        <f t="array" ref="T25">_xlfn.IFS(G25="A List",_xlfn.XLOOKUP(E25,$B$39:$F$39,$B$41:$F$41),G25="Supporting",_xlfn.XLOOKUP(E25,$I$39:$M$39,$I$41:$M$41),G25="B List",_xlfn.XLOOKUP(E25,$P$39:$T$39,$P$41:$T$41))</f>
        <v>0</v>
      </c>
      <c r="U25" s="3">
        <v>0</v>
      </c>
      <c r="V25" s="27" cm="1">
        <f t="array" ref="V25">_xlfn.IFS(G25="A List",_xlfn.XLOOKUP(E25,$B$39:$F$39,$B$42:$F$42),G25="Supporting",_xlfn.XLOOKUP(E25,$I$39:$M$39,$I$42:$M$42),G25="B List",_xlfn.XLOOKUP(E25,$P$39:$T$39,$P$42:$T$42))</f>
        <v>0</v>
      </c>
      <c r="W25" s="3">
        <v>0</v>
      </c>
      <c r="X25" s="27" cm="1">
        <f t="array" ref="X25">_xlfn.IFS(G25="A List",_xlfn.XLOOKUP(E25,$B$39:$F$39,$B$46:$F$46),G25="Supporting",_xlfn.XLOOKUP(E25,$I$39:$M$39,$I$46:$M$46),G25="B List",_xlfn.XLOOKUP(E25,$P$39:$T$39,$P$46:$T$46))</f>
        <v>0</v>
      </c>
      <c r="Y25" s="3">
        <v>76</v>
      </c>
      <c r="Z25" s="3">
        <v>25</v>
      </c>
      <c r="AA25" s="3">
        <v>32</v>
      </c>
      <c r="AB25" s="3">
        <v>40</v>
      </c>
      <c r="AC25" s="3">
        <v>8</v>
      </c>
      <c r="AD25" s="3">
        <v>5</v>
      </c>
      <c r="AE25" s="3">
        <v>10</v>
      </c>
      <c r="AF25" s="3">
        <v>94</v>
      </c>
      <c r="AG25" s="3">
        <v>67</v>
      </c>
      <c r="AH25" s="3">
        <v>31</v>
      </c>
      <c r="AI25" s="3">
        <v>36</v>
      </c>
      <c r="AJ25" s="3">
        <v>27</v>
      </c>
      <c r="AK25" s="3">
        <v>5</v>
      </c>
      <c r="AL25" s="3">
        <v>0</v>
      </c>
      <c r="AM25" s="3">
        <v>1</v>
      </c>
      <c r="AN25" s="3">
        <v>1</v>
      </c>
      <c r="AO25" s="3">
        <v>6</v>
      </c>
      <c r="AP25" s="3">
        <v>46</v>
      </c>
      <c r="AQ25" s="3">
        <v>22</v>
      </c>
      <c r="AR25" s="3">
        <v>25</v>
      </c>
      <c r="AS25" s="3">
        <v>41</v>
      </c>
      <c r="AT25" s="3">
        <v>8</v>
      </c>
      <c r="AU25" s="3">
        <v>4</v>
      </c>
      <c r="AV25" s="3">
        <v>13</v>
      </c>
      <c r="AW25" s="3">
        <v>42</v>
      </c>
      <c r="AX25" s="3">
        <v>46</v>
      </c>
      <c r="AY25" s="3">
        <v>12</v>
      </c>
      <c r="AZ25" s="3">
        <v>50</v>
      </c>
      <c r="BA25" s="3">
        <v>33</v>
      </c>
      <c r="BB25" s="3">
        <v>28</v>
      </c>
      <c r="BC25" s="3">
        <v>2</v>
      </c>
      <c r="BD25" s="3">
        <v>2</v>
      </c>
      <c r="BE25" s="3">
        <v>5</v>
      </c>
      <c r="BF25" s="3">
        <v>10</v>
      </c>
      <c r="BG25" s="3">
        <v>6</v>
      </c>
      <c r="BH25" s="3">
        <v>25</v>
      </c>
      <c r="BI25" s="3">
        <v>25</v>
      </c>
      <c r="BJ25" s="3">
        <v>3</v>
      </c>
      <c r="BK25" s="3">
        <v>6</v>
      </c>
      <c r="BL25" s="3">
        <v>18</v>
      </c>
      <c r="BM25" s="3">
        <v>9</v>
      </c>
      <c r="BN25" s="3">
        <v>1</v>
      </c>
      <c r="BO25" s="3">
        <v>7</v>
      </c>
      <c r="BP25" s="3">
        <v>18</v>
      </c>
      <c r="BQ25" s="3">
        <v>16</v>
      </c>
      <c r="BR25" s="3">
        <v>11</v>
      </c>
      <c r="BS25" s="3">
        <v>19</v>
      </c>
      <c r="BT25" s="3">
        <v>13</v>
      </c>
      <c r="BU25" s="3">
        <v>14</v>
      </c>
      <c r="BV25" s="3">
        <v>9</v>
      </c>
      <c r="BW25" s="3">
        <v>17</v>
      </c>
      <c r="BX25" s="3">
        <v>5</v>
      </c>
      <c r="BY25" s="3">
        <v>32</v>
      </c>
      <c r="BZ25" s="3">
        <v>15</v>
      </c>
      <c r="CA25" s="3">
        <v>18</v>
      </c>
      <c r="CB25" s="3">
        <v>3</v>
      </c>
      <c r="CC25" s="3">
        <v>9</v>
      </c>
      <c r="CD25" s="3">
        <v>13</v>
      </c>
      <c r="CE25" s="3">
        <v>15</v>
      </c>
      <c r="CF25" s="3">
        <v>0</v>
      </c>
      <c r="CG25" s="3">
        <v>5</v>
      </c>
      <c r="CH25" s="3">
        <v>11</v>
      </c>
      <c r="CI25" s="3">
        <v>12</v>
      </c>
      <c r="CJ25" s="3">
        <v>5</v>
      </c>
      <c r="CK25" s="3">
        <v>18</v>
      </c>
      <c r="CL25" s="3">
        <v>33</v>
      </c>
      <c r="CM25" s="3">
        <v>5</v>
      </c>
      <c r="CN25" s="3">
        <v>6</v>
      </c>
      <c r="CO25" s="3">
        <v>4</v>
      </c>
      <c r="CP25" s="3">
        <v>13</v>
      </c>
    </row>
    <row r="26" spans="1:94">
      <c r="A26" s="3">
        <v>285355</v>
      </c>
      <c r="B26" s="5">
        <v>24</v>
      </c>
      <c r="C26" s="4">
        <v>6</v>
      </c>
      <c r="D26" s="5" t="s">
        <v>96</v>
      </c>
      <c r="E26" s="5" t="s">
        <v>98</v>
      </c>
      <c r="F26" s="5">
        <f t="shared" si="0"/>
        <v>17.600000000000001</v>
      </c>
      <c r="G26" s="5" t="str" cm="1">
        <f t="array" ref="G26">_xlfn.IFS(F26&lt;24.9,"B List",F26&lt;45,"Supporting",F26&gt;=45,"A List")</f>
        <v>B List</v>
      </c>
      <c r="H26" s="26">
        <f t="shared" si="1"/>
        <v>526000</v>
      </c>
      <c r="I26" s="26">
        <f t="shared" si="2"/>
        <v>21916.666666666668</v>
      </c>
      <c r="J26" s="28">
        <f t="shared" si="3"/>
        <v>9.9950026613719007</v>
      </c>
      <c r="K26" s="5">
        <v>1</v>
      </c>
      <c r="L26" s="26" cm="1">
        <f t="array" ref="L26">_xlfn.IFS(G26="A List",_xlfn.XLOOKUP(E26,$B$39:$F$39,$B$40:$F$40),G26="Supporting",_xlfn.XLOOKUP(E26,$I$39:$M$39,$I$40:$M$40),G26="B List",_xlfn.XLOOKUP(E26,$P$39:$T$39,$P$40:$T$40))</f>
        <v>350000</v>
      </c>
      <c r="M26" s="3">
        <v>1</v>
      </c>
      <c r="N26" s="27" cm="1">
        <f t="array" ref="N26">_xlfn.IFS(G26="A List",_xlfn.XLOOKUP(E26,$B$39:$F$39,$B$43:$F$43),G26="Supporting",_xlfn.XLOOKUP(E26,$I$39:$M$39,$I$43:$M$43),G26="B List",_xlfn.XLOOKUP(E26,$P$39:$T$39,$P$43:$T$43))</f>
        <v>20000</v>
      </c>
      <c r="O26" s="3">
        <v>10</v>
      </c>
      <c r="P26" s="27" cm="1">
        <f t="array" ref="P26">_xlfn.IFS(G26="A List",_xlfn.XLOOKUP(E26,$B$39:$F$39,$B$45:$F$45),G26="Supporting",_xlfn.XLOOKUP(E26,$I$39:$M$39,$I$45:$M$45),G26="B List",_xlfn.XLOOKUP(E26,$P$39:$T$39,$P$45:$T$45))</f>
        <v>12000</v>
      </c>
      <c r="Q26" s="3">
        <v>2</v>
      </c>
      <c r="R26" s="27" cm="1">
        <f t="array" ref="R26">_xlfn.IFS(G26="A List",_xlfn.XLOOKUP(E26,$B$39:$F$39,$B$44:$F$44),G26="Supporting",_xlfn.XLOOKUP(E26,$I$39:$M$39,$I$44:$M$44),G26="B List",_xlfn.XLOOKUP(E26,$P$39:$T$39,$P$44:$T$44))</f>
        <v>18000</v>
      </c>
      <c r="S26" s="3">
        <v>0</v>
      </c>
      <c r="T26" s="27" cm="1">
        <f t="array" ref="T26">_xlfn.IFS(G26="A List",_xlfn.XLOOKUP(E26,$B$39:$F$39,$B$41:$F$41),G26="Supporting",_xlfn.XLOOKUP(E26,$I$39:$M$39,$I$41:$M$41),G26="B List",_xlfn.XLOOKUP(E26,$P$39:$T$39,$P$41:$T$41))</f>
        <v>0</v>
      </c>
      <c r="U26" s="3">
        <v>0</v>
      </c>
      <c r="V26" s="27" cm="1">
        <f t="array" ref="V26">_xlfn.IFS(G26="A List",_xlfn.XLOOKUP(E26,$B$39:$F$39,$B$42:$F$42),G26="Supporting",_xlfn.XLOOKUP(E26,$I$39:$M$39,$I$42:$M$42),G26="B List",_xlfn.XLOOKUP(E26,$P$39:$T$39,$P$42:$T$42))</f>
        <v>0</v>
      </c>
      <c r="W26" s="3">
        <v>0</v>
      </c>
      <c r="X26" s="27" cm="1">
        <f t="array" ref="X26">_xlfn.IFS(G26="A List",_xlfn.XLOOKUP(E26,$B$39:$F$39,$B$46:$F$46),G26="Supporting",_xlfn.XLOOKUP(E26,$I$39:$M$39,$I$46:$M$46),G26="B List",_xlfn.XLOOKUP(E26,$P$39:$T$39,$P$46:$T$46))</f>
        <v>60</v>
      </c>
      <c r="Y26" s="3">
        <v>70</v>
      </c>
      <c r="Z26" s="3">
        <v>25</v>
      </c>
      <c r="AA26" s="3">
        <v>33</v>
      </c>
      <c r="AB26" s="3">
        <v>39</v>
      </c>
      <c r="AC26" s="3">
        <v>7</v>
      </c>
      <c r="AD26" s="3">
        <v>8</v>
      </c>
      <c r="AE26" s="3">
        <v>6</v>
      </c>
      <c r="AF26" s="3">
        <v>93</v>
      </c>
      <c r="AG26" s="3">
        <v>62</v>
      </c>
      <c r="AH26" s="3">
        <v>28</v>
      </c>
      <c r="AI26" s="3">
        <v>34</v>
      </c>
      <c r="AJ26" s="3">
        <v>31</v>
      </c>
      <c r="AK26" s="3">
        <v>5</v>
      </c>
      <c r="AL26" s="3">
        <v>1</v>
      </c>
      <c r="AM26" s="3">
        <v>1</v>
      </c>
      <c r="AN26" s="3">
        <v>2</v>
      </c>
      <c r="AO26" s="3">
        <v>7</v>
      </c>
      <c r="AP26" s="3">
        <v>41</v>
      </c>
      <c r="AQ26" s="3">
        <v>20</v>
      </c>
      <c r="AR26" s="3">
        <v>21</v>
      </c>
      <c r="AS26" s="3">
        <v>52</v>
      </c>
      <c r="AT26" s="3">
        <v>5</v>
      </c>
      <c r="AU26" s="3">
        <v>2</v>
      </c>
      <c r="AV26" s="3">
        <v>7</v>
      </c>
      <c r="AW26" s="3">
        <v>41</v>
      </c>
      <c r="AX26" s="3">
        <v>53</v>
      </c>
      <c r="AY26" s="3">
        <v>6</v>
      </c>
      <c r="AZ26" s="3">
        <v>43</v>
      </c>
      <c r="BA26" s="3">
        <v>27</v>
      </c>
      <c r="BB26" s="3">
        <v>28</v>
      </c>
      <c r="BC26" s="3">
        <v>5</v>
      </c>
      <c r="BD26" s="3">
        <v>5</v>
      </c>
      <c r="BE26" s="3">
        <v>5</v>
      </c>
      <c r="BF26" s="3">
        <v>2</v>
      </c>
      <c r="BG26" s="3">
        <v>6</v>
      </c>
      <c r="BH26" s="3">
        <v>12</v>
      </c>
      <c r="BI26" s="3">
        <v>14</v>
      </c>
      <c r="BJ26" s="3">
        <v>1</v>
      </c>
      <c r="BK26" s="3">
        <v>5</v>
      </c>
      <c r="BL26" s="3">
        <v>11</v>
      </c>
      <c r="BM26" s="3">
        <v>9</v>
      </c>
      <c r="BN26" s="3">
        <v>2</v>
      </c>
      <c r="BO26" s="3">
        <v>12</v>
      </c>
      <c r="BP26" s="3">
        <v>20</v>
      </c>
      <c r="BQ26" s="3">
        <v>17</v>
      </c>
      <c r="BR26" s="3">
        <v>10</v>
      </c>
      <c r="BS26" s="3">
        <v>10</v>
      </c>
      <c r="BT26" s="3">
        <v>3</v>
      </c>
      <c r="BU26" s="3">
        <v>20</v>
      </c>
      <c r="BV26" s="3">
        <v>21</v>
      </c>
      <c r="BW26" s="3">
        <v>21</v>
      </c>
      <c r="BX26" s="3">
        <v>1</v>
      </c>
      <c r="BY26" s="3">
        <v>8</v>
      </c>
      <c r="BZ26" s="3">
        <v>6</v>
      </c>
      <c r="CA26" s="3">
        <v>26</v>
      </c>
      <c r="CB26" s="3">
        <v>13</v>
      </c>
      <c r="CC26" s="3">
        <v>19</v>
      </c>
      <c r="CD26" s="3">
        <v>7</v>
      </c>
      <c r="CE26" s="3">
        <v>10</v>
      </c>
      <c r="CF26" s="3">
        <v>1</v>
      </c>
      <c r="CG26" s="3">
        <v>35</v>
      </c>
      <c r="CH26" s="3">
        <v>6</v>
      </c>
      <c r="CI26" s="3">
        <v>5</v>
      </c>
      <c r="CJ26" s="3">
        <v>8</v>
      </c>
      <c r="CK26" s="3">
        <v>7</v>
      </c>
      <c r="CL26" s="3">
        <v>47</v>
      </c>
      <c r="CM26" s="3">
        <v>6</v>
      </c>
      <c r="CN26" s="3">
        <v>5</v>
      </c>
      <c r="CO26" s="3">
        <v>3</v>
      </c>
      <c r="CP26" s="3">
        <v>7</v>
      </c>
    </row>
    <row r="27" spans="1:94">
      <c r="A27" s="3">
        <v>264175</v>
      </c>
      <c r="B27" s="3">
        <v>12</v>
      </c>
      <c r="C27" s="4">
        <v>50</v>
      </c>
      <c r="D27" s="5" t="s">
        <v>96</v>
      </c>
      <c r="E27" s="5" t="s">
        <v>98</v>
      </c>
      <c r="F27" s="5">
        <f t="shared" si="0"/>
        <v>17.399999999999999</v>
      </c>
      <c r="G27" s="5" t="str" cm="1">
        <f t="array" ref="G27">_xlfn.IFS(F27&lt;24.9,"B List",F27&lt;45,"Supporting",F27&gt;=45,"A List")</f>
        <v>B List</v>
      </c>
      <c r="H27" s="26">
        <f t="shared" si="1"/>
        <v>134000</v>
      </c>
      <c r="I27" s="26">
        <f t="shared" si="2"/>
        <v>11166.666666666666</v>
      </c>
      <c r="J27" s="28">
        <f t="shared" si="3"/>
        <v>9.3206884291450489</v>
      </c>
      <c r="K27" s="5">
        <v>0</v>
      </c>
      <c r="L27" s="26" cm="1">
        <f t="array" ref="L27">_xlfn.IFS(G27="A List",_xlfn.XLOOKUP(E27,$B$39:$F$39,$B$40:$F$40),G27="Supporting",_xlfn.XLOOKUP(E27,$I$39:$M$39,$I$40:$M$40),G27="B List",_xlfn.XLOOKUP(E27,$P$39:$T$39,$P$40:$T$40))</f>
        <v>350000</v>
      </c>
      <c r="M27" s="3">
        <v>1</v>
      </c>
      <c r="N27" s="27" cm="1">
        <f t="array" ref="N27">_xlfn.IFS(G27="A List",_xlfn.XLOOKUP(E27,$B$39:$F$39,$B$43:$F$43),G27="Supporting",_xlfn.XLOOKUP(E27,$I$39:$M$39,$I$43:$M$43),G27="B List",_xlfn.XLOOKUP(E27,$P$39:$T$39,$P$43:$T$43))</f>
        <v>20000</v>
      </c>
      <c r="O27" s="3">
        <v>8</v>
      </c>
      <c r="P27" s="27" cm="1">
        <f t="array" ref="P27">_xlfn.IFS(G27="A List",_xlfn.XLOOKUP(E27,$B$39:$F$39,$B$45:$F$45),G27="Supporting",_xlfn.XLOOKUP(E27,$I$39:$M$39,$I$45:$M$45),G27="B List",_xlfn.XLOOKUP(E27,$P$39:$T$39,$P$45:$T$45))</f>
        <v>12000</v>
      </c>
      <c r="Q27" s="3">
        <v>1</v>
      </c>
      <c r="R27" s="27" cm="1">
        <f t="array" ref="R27">_xlfn.IFS(G27="A List",_xlfn.XLOOKUP(E27,$B$39:$F$39,$B$44:$F$44),G27="Supporting",_xlfn.XLOOKUP(E27,$I$39:$M$39,$I$44:$M$44),G27="B List",_xlfn.XLOOKUP(E27,$P$39:$T$39,$P$44:$T$44))</f>
        <v>18000</v>
      </c>
      <c r="S27" s="3">
        <v>0</v>
      </c>
      <c r="T27" s="27" cm="1">
        <f t="array" ref="T27">_xlfn.IFS(G27="A List",_xlfn.XLOOKUP(E27,$B$39:$F$39,$B$41:$F$41),G27="Supporting",_xlfn.XLOOKUP(E27,$I$39:$M$39,$I$41:$M$41),G27="B List",_xlfn.XLOOKUP(E27,$P$39:$T$39,$P$41:$T$41))</f>
        <v>0</v>
      </c>
      <c r="U27" s="3">
        <v>0</v>
      </c>
      <c r="V27" s="27" cm="1">
        <f t="array" ref="V27">_xlfn.IFS(G27="A List",_xlfn.XLOOKUP(E27,$B$39:$F$39,$B$42:$F$42),G27="Supporting",_xlfn.XLOOKUP(E27,$I$39:$M$39,$I$42:$M$42),G27="B List",_xlfn.XLOOKUP(E27,$P$39:$T$39,$P$42:$T$42))</f>
        <v>0</v>
      </c>
      <c r="W27" s="3">
        <v>0</v>
      </c>
      <c r="X27" s="27" cm="1">
        <f t="array" ref="X27">_xlfn.IFS(G27="A List",_xlfn.XLOOKUP(E27,$B$39:$F$39,$B$46:$F$46),G27="Supporting",_xlfn.XLOOKUP(E27,$I$39:$M$39,$I$46:$M$46),G27="B List",_xlfn.XLOOKUP(E27,$P$39:$T$39,$P$46:$T$46))</f>
        <v>60</v>
      </c>
      <c r="Y27" s="3">
        <v>75</v>
      </c>
      <c r="Z27" s="3">
        <v>23</v>
      </c>
      <c r="AA27" s="3">
        <v>25</v>
      </c>
      <c r="AB27" s="3">
        <v>59</v>
      </c>
      <c r="AC27" s="3">
        <v>11</v>
      </c>
      <c r="AD27" s="3">
        <v>15</v>
      </c>
      <c r="AE27" s="3">
        <v>7</v>
      </c>
      <c r="AF27" s="3">
        <v>84</v>
      </c>
      <c r="AG27" s="3">
        <v>45</v>
      </c>
      <c r="AH27" s="3">
        <v>18</v>
      </c>
      <c r="AI27" s="3">
        <v>27</v>
      </c>
      <c r="AJ27" s="3">
        <v>39</v>
      </c>
      <c r="AK27" s="3">
        <v>13</v>
      </c>
      <c r="AL27" s="3">
        <v>2</v>
      </c>
      <c r="AM27" s="3">
        <v>1</v>
      </c>
      <c r="AN27" s="3">
        <v>3</v>
      </c>
      <c r="AO27" s="3">
        <v>16</v>
      </c>
      <c r="AP27" s="3">
        <v>34</v>
      </c>
      <c r="AQ27" s="3">
        <v>13</v>
      </c>
      <c r="AR27" s="3">
        <v>21</v>
      </c>
      <c r="AS27" s="3">
        <v>57</v>
      </c>
      <c r="AT27" s="3">
        <v>2</v>
      </c>
      <c r="AU27" s="3">
        <v>7</v>
      </c>
      <c r="AV27" s="3">
        <v>9</v>
      </c>
      <c r="AW27" s="3">
        <v>30</v>
      </c>
      <c r="AX27" s="3">
        <v>55</v>
      </c>
      <c r="AY27" s="3">
        <v>15</v>
      </c>
      <c r="AZ27" s="3">
        <v>31</v>
      </c>
      <c r="BA27" s="3">
        <v>21</v>
      </c>
      <c r="BB27" s="3">
        <v>19</v>
      </c>
      <c r="BC27" s="3">
        <v>1</v>
      </c>
      <c r="BD27" s="3">
        <v>6</v>
      </c>
      <c r="BE27" s="3">
        <v>7</v>
      </c>
      <c r="BF27" s="3">
        <v>9</v>
      </c>
      <c r="BG27" s="3">
        <v>5</v>
      </c>
      <c r="BH27" s="3">
        <v>7</v>
      </c>
      <c r="BI27" s="3">
        <v>4</v>
      </c>
      <c r="BJ27" s="3">
        <v>5</v>
      </c>
      <c r="BK27" s="3">
        <v>2</v>
      </c>
      <c r="BL27" s="3">
        <v>7</v>
      </c>
      <c r="BM27" s="3">
        <v>4</v>
      </c>
      <c r="BN27" s="3">
        <v>6</v>
      </c>
      <c r="BO27" s="3">
        <v>4</v>
      </c>
      <c r="BP27" s="3">
        <v>26</v>
      </c>
      <c r="BQ27" s="3">
        <v>16</v>
      </c>
      <c r="BR27" s="3">
        <v>10</v>
      </c>
      <c r="BS27" s="3">
        <v>5</v>
      </c>
      <c r="BT27" s="3">
        <v>5</v>
      </c>
      <c r="BU27" s="3">
        <v>12</v>
      </c>
      <c r="BV27" s="3">
        <v>15</v>
      </c>
      <c r="BW27" s="3">
        <v>28</v>
      </c>
      <c r="BX27" s="3">
        <v>2</v>
      </c>
      <c r="BY27" s="3">
        <v>10</v>
      </c>
      <c r="BZ27" s="3">
        <v>4</v>
      </c>
      <c r="CA27" s="3">
        <v>25</v>
      </c>
      <c r="CB27" s="3">
        <v>10</v>
      </c>
      <c r="CC27" s="3">
        <v>10</v>
      </c>
      <c r="CD27" s="3">
        <v>9</v>
      </c>
      <c r="CE27" s="3">
        <v>19</v>
      </c>
      <c r="CF27" s="3">
        <v>5</v>
      </c>
      <c r="CG27" s="3">
        <v>28</v>
      </c>
      <c r="CH27" s="3">
        <v>9</v>
      </c>
      <c r="CI27" s="3">
        <v>5</v>
      </c>
      <c r="CJ27" s="3">
        <v>5</v>
      </c>
      <c r="CK27" s="3">
        <v>5</v>
      </c>
      <c r="CL27" s="3">
        <v>35</v>
      </c>
      <c r="CM27" s="3">
        <v>7</v>
      </c>
      <c r="CN27" s="3">
        <v>4</v>
      </c>
      <c r="CO27" s="3">
        <v>9</v>
      </c>
      <c r="CP27" s="3">
        <v>9</v>
      </c>
    </row>
    <row r="28" spans="1:94">
      <c r="A28" s="3">
        <v>407054</v>
      </c>
      <c r="B28" s="5">
        <v>1</v>
      </c>
      <c r="C28" s="4">
        <v>150</v>
      </c>
      <c r="D28" s="5" t="s">
        <v>96</v>
      </c>
      <c r="E28" s="5" t="s">
        <v>99</v>
      </c>
      <c r="F28" s="5">
        <f t="shared" si="0"/>
        <v>17.3</v>
      </c>
      <c r="G28" s="5" t="str" cm="1">
        <f t="array" ref="G28">_xlfn.IFS(F28&lt;24.9,"B List",F28&lt;45,"Supporting",F28&gt;=45,"A List")</f>
        <v>B List</v>
      </c>
      <c r="H28" s="26">
        <f t="shared" si="1"/>
        <v>20000</v>
      </c>
      <c r="I28" s="26">
        <f t="shared" si="2"/>
        <v>20000</v>
      </c>
      <c r="J28" s="28">
        <f t="shared" si="3"/>
        <v>9.9034875525361272</v>
      </c>
      <c r="K28" s="5">
        <v>0</v>
      </c>
      <c r="L28" s="26" cm="1">
        <f t="array" ref="L28">_xlfn.IFS(G28="A List",_xlfn.XLOOKUP(E28,$B$39:$F$39,$B$40:$F$40),G28="Supporting",_xlfn.XLOOKUP(E28,$I$39:$M$39,$I$40:$M$40),G28="B List",_xlfn.XLOOKUP(E28,$P$39:$T$39,$P$40:$T$40))</f>
        <v>350000</v>
      </c>
      <c r="M28" s="3">
        <v>0</v>
      </c>
      <c r="N28" s="27" cm="1">
        <f t="array" ref="N28">_xlfn.IFS(G28="A List",_xlfn.XLOOKUP(E28,$B$39:$F$39,$B$43:$F$43),G28="Supporting",_xlfn.XLOOKUP(E28,$I$39:$M$39,$I$43:$M$43),G28="B List",_xlfn.XLOOKUP(E28,$P$39:$T$39,$P$43:$T$43))</f>
        <v>25000</v>
      </c>
      <c r="O28" s="3">
        <v>0</v>
      </c>
      <c r="P28" s="27" cm="1">
        <f t="array" ref="P28">_xlfn.IFS(G28="A List",_xlfn.XLOOKUP(E28,$B$39:$F$39,$B$45:$F$45),G28="Supporting",_xlfn.XLOOKUP(E28,$I$39:$M$39,$I$45:$M$45),G28="B List",_xlfn.XLOOKUP(E28,$P$39:$T$39,$P$45:$T$45))</f>
        <v>15000</v>
      </c>
      <c r="Q28" s="3">
        <v>1</v>
      </c>
      <c r="R28" s="27" cm="1">
        <f t="array" ref="R28">_xlfn.IFS(G28="A List",_xlfn.XLOOKUP(E28,$B$39:$F$39,$B$44:$F$44),G28="Supporting",_xlfn.XLOOKUP(E28,$I$39:$M$39,$I$44:$M$44),G28="B List",_xlfn.XLOOKUP(E28,$P$39:$T$39,$P$44:$T$44))</f>
        <v>20000</v>
      </c>
      <c r="S28" s="3">
        <v>0</v>
      </c>
      <c r="T28" s="27" cm="1">
        <f t="array" ref="T28">_xlfn.IFS(G28="A List",_xlfn.XLOOKUP(E28,$B$39:$F$39,$B$41:$F$41),G28="Supporting",_xlfn.XLOOKUP(E28,$I$39:$M$39,$I$41:$M$41),G28="B List",_xlfn.XLOOKUP(E28,$P$39:$T$39,$P$41:$T$41))</f>
        <v>125000</v>
      </c>
      <c r="U28" s="3">
        <v>0</v>
      </c>
      <c r="V28" s="27" cm="1">
        <f t="array" ref="V28">_xlfn.IFS(G28="A List",_xlfn.XLOOKUP(E28,$B$39:$F$39,$B$42:$F$42),G28="Supporting",_xlfn.XLOOKUP(E28,$I$39:$M$39,$I$42:$M$42),G28="B List",_xlfn.XLOOKUP(E28,$P$39:$T$39,$P$42:$T$42))</f>
        <v>175000</v>
      </c>
      <c r="W28" s="3">
        <v>0</v>
      </c>
      <c r="X28" s="27" cm="1">
        <f t="array" ref="X28">_xlfn.IFS(G28="A List",_xlfn.XLOOKUP(E28,$B$39:$F$39,$B$46:$F$46),G28="Supporting",_xlfn.XLOOKUP(E28,$I$39:$M$39,$I$46:$M$46),G28="B List",_xlfn.XLOOKUP(E28,$P$39:$T$39,$P$46:$T$46))</f>
        <v>75</v>
      </c>
      <c r="Y28" s="3">
        <v>28</v>
      </c>
      <c r="Z28" s="3">
        <v>29</v>
      </c>
      <c r="AA28" s="3">
        <v>33</v>
      </c>
      <c r="AB28" s="3">
        <v>34</v>
      </c>
      <c r="AC28" s="3">
        <v>4</v>
      </c>
      <c r="AD28" s="3">
        <v>4</v>
      </c>
      <c r="AE28" s="3">
        <v>4</v>
      </c>
      <c r="AF28" s="3">
        <v>87</v>
      </c>
      <c r="AG28" s="3">
        <v>71</v>
      </c>
      <c r="AH28" s="3">
        <v>43</v>
      </c>
      <c r="AI28" s="3">
        <v>28</v>
      </c>
      <c r="AJ28" s="3">
        <v>16</v>
      </c>
      <c r="AK28" s="3">
        <v>7</v>
      </c>
      <c r="AL28" s="3">
        <v>2</v>
      </c>
      <c r="AM28" s="3">
        <v>4</v>
      </c>
      <c r="AN28" s="3">
        <v>6</v>
      </c>
      <c r="AO28" s="3">
        <v>13</v>
      </c>
      <c r="AP28" s="3">
        <v>47</v>
      </c>
      <c r="AQ28" s="3">
        <v>18</v>
      </c>
      <c r="AR28" s="3">
        <v>29</v>
      </c>
      <c r="AS28" s="3">
        <v>46</v>
      </c>
      <c r="AT28" s="3">
        <v>5</v>
      </c>
      <c r="AU28" s="3">
        <v>2</v>
      </c>
      <c r="AV28" s="3">
        <v>7</v>
      </c>
      <c r="AW28" s="3">
        <v>44</v>
      </c>
      <c r="AX28" s="3">
        <v>41</v>
      </c>
      <c r="AY28" s="3">
        <v>14</v>
      </c>
      <c r="AZ28" s="3">
        <v>43</v>
      </c>
      <c r="BA28" s="3">
        <v>33</v>
      </c>
      <c r="BB28" s="3">
        <v>28</v>
      </c>
      <c r="BC28" s="3">
        <v>3</v>
      </c>
      <c r="BD28" s="3">
        <v>5</v>
      </c>
      <c r="BE28" s="3">
        <v>5</v>
      </c>
      <c r="BF28" s="3">
        <v>10</v>
      </c>
      <c r="BG28" s="3">
        <v>23</v>
      </c>
      <c r="BH28" s="3">
        <v>18</v>
      </c>
      <c r="BI28" s="3">
        <v>10</v>
      </c>
      <c r="BJ28" s="3">
        <v>12</v>
      </c>
      <c r="BK28" s="3">
        <v>7</v>
      </c>
      <c r="BL28" s="3">
        <v>14</v>
      </c>
      <c r="BM28" s="3">
        <v>25</v>
      </c>
      <c r="BN28" s="3">
        <v>9</v>
      </c>
      <c r="BO28" s="3">
        <v>10</v>
      </c>
      <c r="BP28" s="3">
        <v>23</v>
      </c>
      <c r="BQ28" s="3">
        <v>20</v>
      </c>
      <c r="BR28" s="3">
        <v>19</v>
      </c>
      <c r="BS28" s="3">
        <v>5</v>
      </c>
      <c r="BT28" s="3">
        <v>16</v>
      </c>
      <c r="BU28" s="3">
        <v>16</v>
      </c>
      <c r="BV28" s="3">
        <v>4</v>
      </c>
      <c r="BW28" s="3">
        <v>23</v>
      </c>
      <c r="BX28" s="3">
        <v>7</v>
      </c>
      <c r="BY28" s="3">
        <v>8</v>
      </c>
      <c r="BZ28" s="3">
        <v>13</v>
      </c>
      <c r="CA28" s="3">
        <v>24</v>
      </c>
      <c r="CB28" s="3">
        <v>18</v>
      </c>
      <c r="CC28" s="3">
        <v>4</v>
      </c>
      <c r="CD28" s="3">
        <v>14</v>
      </c>
      <c r="CE28" s="3">
        <v>14</v>
      </c>
      <c r="CF28" s="3">
        <v>7</v>
      </c>
      <c r="CG28" s="3">
        <v>3</v>
      </c>
      <c r="CH28" s="3">
        <v>10</v>
      </c>
      <c r="CI28" s="3">
        <v>3</v>
      </c>
      <c r="CJ28" s="3">
        <v>11</v>
      </c>
      <c r="CK28" s="3">
        <v>11</v>
      </c>
      <c r="CL28" s="3">
        <v>33</v>
      </c>
      <c r="CM28" s="3">
        <v>15</v>
      </c>
      <c r="CN28" s="3">
        <v>5</v>
      </c>
      <c r="CO28" s="3">
        <v>7</v>
      </c>
      <c r="CP28" s="3">
        <v>15</v>
      </c>
    </row>
    <row r="29" spans="1:94">
      <c r="A29" s="3">
        <v>144967</v>
      </c>
      <c r="B29" s="3">
        <v>18</v>
      </c>
      <c r="C29" s="4">
        <v>10</v>
      </c>
      <c r="D29" s="5" t="s">
        <v>96</v>
      </c>
      <c r="E29" s="5" t="s">
        <v>98</v>
      </c>
      <c r="F29" s="5">
        <f t="shared" si="0"/>
        <v>17.100000000000001</v>
      </c>
      <c r="G29" s="5" t="str" cm="1">
        <f t="array" ref="G29">_xlfn.IFS(F29&lt;24.9,"B List",F29&lt;45,"Supporting",F29&gt;=45,"A List")</f>
        <v>B List</v>
      </c>
      <c r="H29" s="26">
        <f t="shared" si="1"/>
        <v>94000</v>
      </c>
      <c r="I29" s="26">
        <f t="shared" si="2"/>
        <v>5222.2222222222226</v>
      </c>
      <c r="J29" s="28">
        <f t="shared" si="3"/>
        <v>8.5606783033559761</v>
      </c>
      <c r="K29" s="5">
        <v>0</v>
      </c>
      <c r="L29" s="26" cm="1">
        <f t="array" ref="L29">_xlfn.IFS(G29="A List",_xlfn.XLOOKUP(E29,$B$39:$F$39,$B$40:$F$40),G29="Supporting",_xlfn.XLOOKUP(E29,$I$39:$M$39,$I$40:$M$40),G29="B List",_xlfn.XLOOKUP(E29,$P$39:$T$39,$P$40:$T$40))</f>
        <v>350000</v>
      </c>
      <c r="M29" s="3">
        <v>2</v>
      </c>
      <c r="N29" s="27" cm="1">
        <f t="array" ref="N29">_xlfn.IFS(G29="A List",_xlfn.XLOOKUP(E29,$B$39:$F$39,$B$43:$F$43),G29="Supporting",_xlfn.XLOOKUP(E29,$I$39:$M$39,$I$43:$M$43),G29="B List",_xlfn.XLOOKUP(E29,$P$39:$T$39,$P$43:$T$43))</f>
        <v>20000</v>
      </c>
      <c r="O29" s="3">
        <v>3</v>
      </c>
      <c r="P29" s="27" cm="1">
        <f t="array" ref="P29">_xlfn.IFS(G29="A List",_xlfn.XLOOKUP(E29,$B$39:$F$39,$B$45:$F$45),G29="Supporting",_xlfn.XLOOKUP(E29,$I$39:$M$39,$I$45:$M$45),G29="B List",_xlfn.XLOOKUP(E29,$P$39:$T$39,$P$45:$T$45))</f>
        <v>12000</v>
      </c>
      <c r="Q29" s="3">
        <v>1</v>
      </c>
      <c r="R29" s="27" cm="1">
        <f t="array" ref="R29">_xlfn.IFS(G29="A List",_xlfn.XLOOKUP(E29,$B$39:$F$39,$B$44:$F$44),G29="Supporting",_xlfn.XLOOKUP(E29,$I$39:$M$39,$I$44:$M$44),G29="B List",_xlfn.XLOOKUP(E29,$P$39:$T$39,$P$44:$T$44))</f>
        <v>18000</v>
      </c>
      <c r="S29" s="3">
        <v>0</v>
      </c>
      <c r="T29" s="27" cm="1">
        <f t="array" ref="T29">_xlfn.IFS(G29="A List",_xlfn.XLOOKUP(E29,$B$39:$F$39,$B$41:$F$41),G29="Supporting",_xlfn.XLOOKUP(E29,$I$39:$M$39,$I$41:$M$41),G29="B List",_xlfn.XLOOKUP(E29,$P$39:$T$39,$P$41:$T$41))</f>
        <v>0</v>
      </c>
      <c r="U29" s="3">
        <v>0</v>
      </c>
      <c r="V29" s="27" cm="1">
        <f t="array" ref="V29">_xlfn.IFS(G29="A List",_xlfn.XLOOKUP(E29,$B$39:$F$39,$B$42:$F$42),G29="Supporting",_xlfn.XLOOKUP(E29,$I$39:$M$39,$I$42:$M$42),G29="B List",_xlfn.XLOOKUP(E29,$P$39:$T$39,$P$42:$T$42))</f>
        <v>0</v>
      </c>
      <c r="W29" s="3">
        <v>0</v>
      </c>
      <c r="X29" s="27" cm="1">
        <f t="array" ref="X29">_xlfn.IFS(G29="A List",_xlfn.XLOOKUP(E29,$B$39:$F$39,$B$46:$F$46),G29="Supporting",_xlfn.XLOOKUP(E29,$I$39:$M$39,$I$46:$M$46),G29="B List",_xlfn.XLOOKUP(E29,$P$39:$T$39,$P$46:$T$46))</f>
        <v>60</v>
      </c>
      <c r="Y29" s="3">
        <v>26</v>
      </c>
      <c r="Z29" s="3">
        <v>27</v>
      </c>
      <c r="AA29" s="3">
        <v>35</v>
      </c>
      <c r="AB29" s="3">
        <v>40</v>
      </c>
      <c r="AC29" s="3">
        <v>4</v>
      </c>
      <c r="AD29" s="3">
        <v>3</v>
      </c>
      <c r="AE29" s="3">
        <v>4</v>
      </c>
      <c r="AF29" s="3">
        <v>91</v>
      </c>
      <c r="AG29" s="3">
        <v>60</v>
      </c>
      <c r="AH29" s="3">
        <v>27</v>
      </c>
      <c r="AI29" s="3">
        <v>33</v>
      </c>
      <c r="AJ29" s="3">
        <v>31</v>
      </c>
      <c r="AK29" s="3">
        <v>3</v>
      </c>
      <c r="AL29" s="3">
        <v>2</v>
      </c>
      <c r="AM29" s="3">
        <v>4</v>
      </c>
      <c r="AN29" s="3">
        <v>6</v>
      </c>
      <c r="AO29" s="3">
        <v>9</v>
      </c>
      <c r="AP29" s="3">
        <v>52</v>
      </c>
      <c r="AQ29" s="3">
        <v>16</v>
      </c>
      <c r="AR29" s="3">
        <v>37</v>
      </c>
      <c r="AS29" s="3">
        <v>43</v>
      </c>
      <c r="AT29" s="3">
        <v>0</v>
      </c>
      <c r="AU29" s="3">
        <v>5</v>
      </c>
      <c r="AV29" s="3">
        <v>5</v>
      </c>
      <c r="AW29" s="3">
        <v>49</v>
      </c>
      <c r="AX29" s="3">
        <v>45</v>
      </c>
      <c r="AY29" s="3">
        <v>5</v>
      </c>
      <c r="AZ29" s="3">
        <v>48</v>
      </c>
      <c r="BA29" s="3">
        <v>29</v>
      </c>
      <c r="BB29" s="3">
        <v>22</v>
      </c>
      <c r="BC29" s="3">
        <v>2</v>
      </c>
      <c r="BD29" s="3">
        <v>4</v>
      </c>
      <c r="BE29" s="3">
        <v>4</v>
      </c>
      <c r="BF29" s="3">
        <v>8</v>
      </c>
      <c r="BG29" s="3">
        <v>6</v>
      </c>
      <c r="BH29" s="3">
        <v>13</v>
      </c>
      <c r="BI29" s="3">
        <v>8</v>
      </c>
      <c r="BJ29" s="3">
        <v>6</v>
      </c>
      <c r="BK29" s="3">
        <v>6</v>
      </c>
      <c r="BL29" s="3">
        <v>5</v>
      </c>
      <c r="BM29" s="3">
        <v>15</v>
      </c>
      <c r="BN29" s="3">
        <v>12</v>
      </c>
      <c r="BO29" s="3">
        <v>11</v>
      </c>
      <c r="BP29" s="3">
        <v>17</v>
      </c>
      <c r="BQ29" s="3">
        <v>14</v>
      </c>
      <c r="BR29" s="3">
        <v>13</v>
      </c>
      <c r="BS29" s="3">
        <v>11</v>
      </c>
      <c r="BT29" s="3">
        <v>8</v>
      </c>
      <c r="BU29" s="3">
        <v>13</v>
      </c>
      <c r="BV29" s="3">
        <v>15</v>
      </c>
      <c r="BW29" s="3">
        <v>13</v>
      </c>
      <c r="BX29" s="3">
        <v>2</v>
      </c>
      <c r="BY29" s="3">
        <v>10</v>
      </c>
      <c r="BZ29" s="3">
        <v>7</v>
      </c>
      <c r="CA29" s="3">
        <v>29</v>
      </c>
      <c r="CB29" s="3">
        <v>10</v>
      </c>
      <c r="CC29" s="3">
        <v>6</v>
      </c>
      <c r="CD29" s="3">
        <v>14</v>
      </c>
      <c r="CE29" s="3">
        <v>14</v>
      </c>
      <c r="CF29" s="3">
        <v>4</v>
      </c>
      <c r="CG29" s="3">
        <v>29</v>
      </c>
      <c r="CH29" s="3">
        <v>18</v>
      </c>
      <c r="CI29" s="3">
        <v>6</v>
      </c>
      <c r="CJ29" s="3">
        <v>6</v>
      </c>
      <c r="CK29" s="3">
        <v>7</v>
      </c>
      <c r="CL29" s="3">
        <v>22</v>
      </c>
      <c r="CM29" s="3">
        <v>2</v>
      </c>
      <c r="CN29" s="3">
        <v>2</v>
      </c>
      <c r="CO29" s="3">
        <v>7</v>
      </c>
      <c r="CP29" s="3">
        <v>2</v>
      </c>
    </row>
    <row r="30" spans="1:94">
      <c r="A30" s="3">
        <v>335473</v>
      </c>
      <c r="B30" s="3">
        <v>24</v>
      </c>
      <c r="C30" s="4">
        <v>50</v>
      </c>
      <c r="D30" s="5" t="s">
        <v>96</v>
      </c>
      <c r="E30" s="5" t="s">
        <v>98</v>
      </c>
      <c r="F30" s="5">
        <f t="shared" si="0"/>
        <v>16.899999999999999</v>
      </c>
      <c r="G30" s="5" t="str" cm="1">
        <f t="array" ref="G30">_xlfn.IFS(F30&lt;24.9,"B List",F30&lt;45,"Supporting",F30&gt;=45,"A List")</f>
        <v>B List</v>
      </c>
      <c r="H30" s="26">
        <f t="shared" si="1"/>
        <v>152000</v>
      </c>
      <c r="I30" s="26">
        <f t="shared" si="2"/>
        <v>6333.333333333333</v>
      </c>
      <c r="J30" s="28">
        <f t="shared" si="3"/>
        <v>8.753581969480468</v>
      </c>
      <c r="K30" s="5">
        <v>0</v>
      </c>
      <c r="L30" s="26" cm="1">
        <f t="array" ref="L30">_xlfn.IFS(G30="A List",_xlfn.XLOOKUP(E30,$B$39:$F$39,$B$40:$F$40),G30="Supporting",_xlfn.XLOOKUP(E30,$I$39:$M$39,$I$40:$M$40),G30="B List",_xlfn.XLOOKUP(E30,$P$39:$T$39,$P$40:$T$40))</f>
        <v>350000</v>
      </c>
      <c r="M30" s="3">
        <v>1</v>
      </c>
      <c r="N30" s="27" cm="1">
        <f t="array" ref="N30">_xlfn.IFS(G30="A List",_xlfn.XLOOKUP(E30,$B$39:$F$39,$B$43:$F$43),G30="Supporting",_xlfn.XLOOKUP(E30,$I$39:$M$39,$I$43:$M$43),G30="B List",_xlfn.XLOOKUP(E30,$P$39:$T$39,$P$43:$T$43))</f>
        <v>20000</v>
      </c>
      <c r="O30" s="3">
        <v>8</v>
      </c>
      <c r="P30" s="27" cm="1">
        <f t="array" ref="P30">_xlfn.IFS(G30="A List",_xlfn.XLOOKUP(E30,$B$39:$F$39,$B$45:$F$45),G30="Supporting",_xlfn.XLOOKUP(E30,$I$39:$M$39,$I$45:$M$45),G30="B List",_xlfn.XLOOKUP(E30,$P$39:$T$39,$P$45:$T$45))</f>
        <v>12000</v>
      </c>
      <c r="Q30" s="3">
        <v>2</v>
      </c>
      <c r="R30" s="27" cm="1">
        <f t="array" ref="R30">_xlfn.IFS(G30="A List",_xlfn.XLOOKUP(E30,$B$39:$F$39,$B$44:$F$44),G30="Supporting",_xlfn.XLOOKUP(E30,$I$39:$M$39,$I$44:$M$44),G30="B List",_xlfn.XLOOKUP(E30,$P$39:$T$39,$P$44:$T$44))</f>
        <v>18000</v>
      </c>
      <c r="S30" s="3">
        <v>0</v>
      </c>
      <c r="T30" s="27" cm="1">
        <f t="array" ref="T30">_xlfn.IFS(G30="A List",_xlfn.XLOOKUP(E30,$B$39:$F$39,$B$41:$F$41),G30="Supporting",_xlfn.XLOOKUP(E30,$I$39:$M$39,$I$41:$M$41),G30="B List",_xlfn.XLOOKUP(E30,$P$39:$T$39,$P$41:$T$41))</f>
        <v>0</v>
      </c>
      <c r="U30" s="3">
        <v>0</v>
      </c>
      <c r="V30" s="27" cm="1">
        <f t="array" ref="V30">_xlfn.IFS(G30="A List",_xlfn.XLOOKUP(E30,$B$39:$F$39,$B$42:$F$42),G30="Supporting",_xlfn.XLOOKUP(E30,$I$39:$M$39,$I$42:$M$42),G30="B List",_xlfn.XLOOKUP(E30,$P$39:$T$39,$P$42:$T$42))</f>
        <v>0</v>
      </c>
      <c r="W30" s="3">
        <v>0</v>
      </c>
      <c r="X30" s="27" cm="1">
        <f t="array" ref="X30">_xlfn.IFS(G30="A List",_xlfn.XLOOKUP(E30,$B$39:$F$39,$B$46:$F$46),G30="Supporting",_xlfn.XLOOKUP(E30,$I$39:$M$39,$I$46:$M$46),G30="B List",_xlfn.XLOOKUP(E30,$P$39:$T$39,$P$46:$T$46))</f>
        <v>60</v>
      </c>
      <c r="Y30" s="3">
        <v>59</v>
      </c>
      <c r="Z30" s="3">
        <v>28</v>
      </c>
      <c r="AA30" s="3">
        <v>30</v>
      </c>
      <c r="AB30" s="3">
        <v>40</v>
      </c>
      <c r="AC30" s="3">
        <v>5</v>
      </c>
      <c r="AD30" s="3">
        <v>6</v>
      </c>
      <c r="AE30" s="3">
        <v>4</v>
      </c>
      <c r="AF30" s="3">
        <v>88</v>
      </c>
      <c r="AG30" s="3">
        <v>59</v>
      </c>
      <c r="AH30" s="3">
        <v>35</v>
      </c>
      <c r="AI30" s="3">
        <v>24</v>
      </c>
      <c r="AJ30" s="3">
        <v>30</v>
      </c>
      <c r="AK30" s="3">
        <v>12</v>
      </c>
      <c r="AL30" s="3">
        <v>0</v>
      </c>
      <c r="AM30" s="3">
        <v>0</v>
      </c>
      <c r="AN30" s="3">
        <v>0</v>
      </c>
      <c r="AO30" s="3">
        <v>12</v>
      </c>
      <c r="AP30" s="3">
        <v>54</v>
      </c>
      <c r="AQ30" s="3">
        <v>26</v>
      </c>
      <c r="AR30" s="3">
        <v>28</v>
      </c>
      <c r="AS30" s="3">
        <v>36</v>
      </c>
      <c r="AT30" s="3">
        <v>6</v>
      </c>
      <c r="AU30" s="3">
        <v>4</v>
      </c>
      <c r="AV30" s="3">
        <v>9</v>
      </c>
      <c r="AW30" s="3">
        <v>38</v>
      </c>
      <c r="AX30" s="3">
        <v>48</v>
      </c>
      <c r="AY30" s="3">
        <v>14</v>
      </c>
      <c r="AZ30" s="3">
        <v>50</v>
      </c>
      <c r="BA30" s="3">
        <v>36</v>
      </c>
      <c r="BB30" s="3">
        <v>21</v>
      </c>
      <c r="BC30" s="3">
        <v>0</v>
      </c>
      <c r="BD30" s="3">
        <v>4</v>
      </c>
      <c r="BE30" s="3">
        <v>5</v>
      </c>
      <c r="BF30" s="3">
        <v>7</v>
      </c>
      <c r="BG30" s="3">
        <v>9</v>
      </c>
      <c r="BH30" s="3">
        <v>10</v>
      </c>
      <c r="BI30" s="3">
        <v>6</v>
      </c>
      <c r="BJ30" s="3">
        <v>9</v>
      </c>
      <c r="BK30" s="3">
        <v>7</v>
      </c>
      <c r="BL30" s="3">
        <v>13</v>
      </c>
      <c r="BM30" s="3">
        <v>15</v>
      </c>
      <c r="BN30" s="3">
        <v>1</v>
      </c>
      <c r="BO30" s="3">
        <v>7</v>
      </c>
      <c r="BP30" s="3">
        <v>30</v>
      </c>
      <c r="BQ30" s="3">
        <v>17</v>
      </c>
      <c r="BR30" s="3">
        <v>13</v>
      </c>
      <c r="BS30" s="3">
        <v>6</v>
      </c>
      <c r="BT30" s="3">
        <v>4</v>
      </c>
      <c r="BU30" s="3">
        <v>11</v>
      </c>
      <c r="BV30" s="3">
        <v>12</v>
      </c>
      <c r="BW30" s="3">
        <v>24</v>
      </c>
      <c r="BX30" s="3">
        <v>0</v>
      </c>
      <c r="BY30" s="3">
        <v>3</v>
      </c>
      <c r="BZ30" s="3">
        <v>4</v>
      </c>
      <c r="CA30" s="3">
        <v>13</v>
      </c>
      <c r="CB30" s="3">
        <v>15</v>
      </c>
      <c r="CC30" s="3">
        <v>9</v>
      </c>
      <c r="CD30" s="3">
        <v>11</v>
      </c>
      <c r="CE30" s="3">
        <v>14</v>
      </c>
      <c r="CF30" s="3">
        <v>2</v>
      </c>
      <c r="CG30" s="3">
        <v>15</v>
      </c>
      <c r="CH30" s="3">
        <v>4</v>
      </c>
      <c r="CI30" s="3">
        <v>5</v>
      </c>
      <c r="CJ30" s="3">
        <v>7</v>
      </c>
      <c r="CK30" s="3">
        <v>11</v>
      </c>
      <c r="CL30" s="3">
        <v>23</v>
      </c>
      <c r="CM30" s="3">
        <v>6</v>
      </c>
      <c r="CN30" s="3">
        <v>5</v>
      </c>
      <c r="CO30" s="3">
        <v>6</v>
      </c>
      <c r="CP30" s="3">
        <v>11</v>
      </c>
    </row>
    <row r="31" spans="1:94">
      <c r="A31" s="3">
        <v>396536</v>
      </c>
      <c r="B31" s="5">
        <v>1</v>
      </c>
      <c r="C31" s="4">
        <v>60</v>
      </c>
      <c r="D31" s="5" t="s">
        <v>96</v>
      </c>
      <c r="E31" s="5" t="s">
        <v>98</v>
      </c>
      <c r="F31" s="5">
        <f t="shared" si="0"/>
        <v>16.600000000000001</v>
      </c>
      <c r="G31" s="5" t="str" cm="1">
        <f t="array" ref="G31">_xlfn.IFS(F31&lt;24.9,"B List",F31&lt;45,"Supporting",F31&gt;=45,"A List")</f>
        <v>B List</v>
      </c>
      <c r="H31" s="26">
        <f t="shared" si="1"/>
        <v>18000</v>
      </c>
      <c r="I31" s="26">
        <f t="shared" si="2"/>
        <v>18000</v>
      </c>
      <c r="J31" s="28">
        <f t="shared" si="3"/>
        <v>9.7981270368783022</v>
      </c>
      <c r="K31" s="5">
        <v>0</v>
      </c>
      <c r="L31" s="26" cm="1">
        <f t="array" ref="L31">_xlfn.IFS(G31="A List",_xlfn.XLOOKUP(E31,$B$39:$F$39,$B$40:$F$40),G31="Supporting",_xlfn.XLOOKUP(E31,$I$39:$M$39,$I$40:$M$40),G31="B List",_xlfn.XLOOKUP(E31,$P$39:$T$39,$P$40:$T$40))</f>
        <v>350000</v>
      </c>
      <c r="M31" s="3">
        <v>0</v>
      </c>
      <c r="N31" s="27" cm="1">
        <f t="array" ref="N31">_xlfn.IFS(G31="A List",_xlfn.XLOOKUP(E31,$B$39:$F$39,$B$43:$F$43),G31="Supporting",_xlfn.XLOOKUP(E31,$I$39:$M$39,$I$43:$M$43),G31="B List",_xlfn.XLOOKUP(E31,$P$39:$T$39,$P$43:$T$43))</f>
        <v>20000</v>
      </c>
      <c r="O31" s="3">
        <v>0</v>
      </c>
      <c r="P31" s="27" cm="1">
        <f t="array" ref="P31">_xlfn.IFS(G31="A List",_xlfn.XLOOKUP(E31,$B$39:$F$39,$B$45:$F$45),G31="Supporting",_xlfn.XLOOKUP(E31,$I$39:$M$39,$I$45:$M$45),G31="B List",_xlfn.XLOOKUP(E31,$P$39:$T$39,$P$45:$T$45))</f>
        <v>12000</v>
      </c>
      <c r="Q31" s="3">
        <v>1</v>
      </c>
      <c r="R31" s="27" cm="1">
        <f t="array" ref="R31">_xlfn.IFS(G31="A List",_xlfn.XLOOKUP(E31,$B$39:$F$39,$B$44:$F$44),G31="Supporting",_xlfn.XLOOKUP(E31,$I$39:$M$39,$I$44:$M$44),G31="B List",_xlfn.XLOOKUP(E31,$P$39:$T$39,$P$44:$T$44))</f>
        <v>18000</v>
      </c>
      <c r="S31" s="3">
        <v>0</v>
      </c>
      <c r="T31" s="27" cm="1">
        <f t="array" ref="T31">_xlfn.IFS(G31="A List",_xlfn.XLOOKUP(E31,$B$39:$F$39,$B$41:$F$41),G31="Supporting",_xlfn.XLOOKUP(E31,$I$39:$M$39,$I$41:$M$41),G31="B List",_xlfn.XLOOKUP(E31,$P$39:$T$39,$P$41:$T$41))</f>
        <v>0</v>
      </c>
      <c r="U31" s="3">
        <v>0</v>
      </c>
      <c r="V31" s="27" cm="1">
        <f t="array" ref="V31">_xlfn.IFS(G31="A List",_xlfn.XLOOKUP(E31,$B$39:$F$39,$B$42:$F$42),G31="Supporting",_xlfn.XLOOKUP(E31,$I$39:$M$39,$I$42:$M$42),G31="B List",_xlfn.XLOOKUP(E31,$P$39:$T$39,$P$42:$T$42))</f>
        <v>0</v>
      </c>
      <c r="W31" s="3">
        <v>0</v>
      </c>
      <c r="X31" s="27" cm="1">
        <f t="array" ref="X31">_xlfn.IFS(G31="A List",_xlfn.XLOOKUP(E31,$B$39:$F$39,$B$46:$F$46),G31="Supporting",_xlfn.XLOOKUP(E31,$I$39:$M$39,$I$46:$M$46),G31="B List",_xlfn.XLOOKUP(E31,$P$39:$T$39,$P$46:$T$46))</f>
        <v>60</v>
      </c>
      <c r="Y31" s="3">
        <v>42</v>
      </c>
      <c r="Z31" s="3">
        <v>25</v>
      </c>
      <c r="AA31" s="3">
        <v>33</v>
      </c>
      <c r="AB31" s="3">
        <v>29</v>
      </c>
      <c r="AC31" s="3">
        <v>5</v>
      </c>
      <c r="AD31" s="3">
        <v>5</v>
      </c>
      <c r="AE31" s="3">
        <v>4</v>
      </c>
      <c r="AF31" s="3">
        <v>92</v>
      </c>
      <c r="AG31" s="3">
        <v>56</v>
      </c>
      <c r="AH31" s="3">
        <v>29</v>
      </c>
      <c r="AI31" s="3">
        <v>27</v>
      </c>
      <c r="AJ31" s="3">
        <v>36</v>
      </c>
      <c r="AK31" s="3">
        <v>3</v>
      </c>
      <c r="AL31" s="3">
        <v>2</v>
      </c>
      <c r="AM31" s="3">
        <v>3</v>
      </c>
      <c r="AN31" s="3">
        <v>5</v>
      </c>
      <c r="AO31" s="3">
        <v>8</v>
      </c>
      <c r="AP31" s="3">
        <v>41</v>
      </c>
      <c r="AQ31" s="3">
        <v>7</v>
      </c>
      <c r="AR31" s="3">
        <v>34</v>
      </c>
      <c r="AS31" s="3">
        <v>56</v>
      </c>
      <c r="AT31" s="3">
        <v>0</v>
      </c>
      <c r="AU31" s="3">
        <v>3</v>
      </c>
      <c r="AV31" s="3">
        <v>3</v>
      </c>
      <c r="AW31" s="3">
        <v>47</v>
      </c>
      <c r="AX31" s="3">
        <v>37</v>
      </c>
      <c r="AY31" s="3">
        <v>17</v>
      </c>
      <c r="AZ31" s="3">
        <v>30</v>
      </c>
      <c r="BA31" s="3">
        <v>20</v>
      </c>
      <c r="BB31" s="3">
        <v>14</v>
      </c>
      <c r="BC31" s="3">
        <v>3</v>
      </c>
      <c r="BD31" s="3">
        <v>8</v>
      </c>
      <c r="BE31" s="3">
        <v>0</v>
      </c>
      <c r="BF31" s="3">
        <v>5</v>
      </c>
      <c r="BG31" s="3">
        <v>10</v>
      </c>
      <c r="BH31" s="3">
        <v>4</v>
      </c>
      <c r="BI31" s="3">
        <v>3</v>
      </c>
      <c r="BJ31" s="3">
        <v>2</v>
      </c>
      <c r="BK31" s="3">
        <v>3</v>
      </c>
      <c r="BL31" s="3">
        <v>8</v>
      </c>
      <c r="BM31" s="3">
        <v>6</v>
      </c>
      <c r="BN31" s="3">
        <v>2</v>
      </c>
      <c r="BO31" s="3">
        <v>10</v>
      </c>
      <c r="BP31" s="3">
        <v>32</v>
      </c>
      <c r="BQ31" s="3">
        <v>26</v>
      </c>
      <c r="BR31" s="3">
        <v>7</v>
      </c>
      <c r="BS31" s="3">
        <v>5</v>
      </c>
      <c r="BT31" s="3">
        <v>20</v>
      </c>
      <c r="BU31" s="3">
        <v>19</v>
      </c>
      <c r="BV31" s="3">
        <v>20</v>
      </c>
      <c r="BW31" s="3">
        <v>23</v>
      </c>
      <c r="BX31" s="3">
        <v>0</v>
      </c>
      <c r="BY31" s="3">
        <v>6</v>
      </c>
      <c r="BZ31" s="3">
        <v>0</v>
      </c>
      <c r="CA31" s="3">
        <v>14</v>
      </c>
      <c r="CB31" s="3">
        <v>7</v>
      </c>
      <c r="CC31" s="3">
        <v>7</v>
      </c>
      <c r="CD31" s="3">
        <v>14</v>
      </c>
      <c r="CE31" s="3">
        <v>21</v>
      </c>
      <c r="CF31" s="3">
        <v>2</v>
      </c>
      <c r="CG31" s="3">
        <v>40</v>
      </c>
      <c r="CH31" s="3">
        <v>11</v>
      </c>
      <c r="CI31" s="3">
        <v>0</v>
      </c>
      <c r="CJ31" s="3">
        <v>3</v>
      </c>
      <c r="CK31" s="3">
        <v>7</v>
      </c>
      <c r="CL31" s="3">
        <v>31</v>
      </c>
      <c r="CM31" s="3">
        <v>8</v>
      </c>
      <c r="CN31" s="3">
        <v>0</v>
      </c>
      <c r="CO31" s="3">
        <v>20</v>
      </c>
      <c r="CP31" s="3">
        <v>7</v>
      </c>
    </row>
    <row r="32" spans="1:94">
      <c r="A32" s="3">
        <v>660137</v>
      </c>
      <c r="B32" s="3">
        <v>12</v>
      </c>
      <c r="C32" s="4">
        <v>4</v>
      </c>
      <c r="D32" s="5" t="s">
        <v>96</v>
      </c>
      <c r="E32" s="5" t="s">
        <v>99</v>
      </c>
      <c r="F32" s="5">
        <f t="shared" si="0"/>
        <v>16.600000000000001</v>
      </c>
      <c r="G32" s="5" t="str" cm="1">
        <f t="array" ref="G32">_xlfn.IFS(F32&lt;24.9,"B List",F32&lt;45,"Supporting",F32&gt;=45,"A List")</f>
        <v>B List</v>
      </c>
      <c r="H32" s="26">
        <f t="shared" si="1"/>
        <v>326250</v>
      </c>
      <c r="I32" s="26">
        <f t="shared" si="2"/>
        <v>27187.5</v>
      </c>
      <c r="J32" s="28">
        <f t="shared" si="3"/>
        <v>10.21051258783104</v>
      </c>
      <c r="K32" s="5">
        <v>0</v>
      </c>
      <c r="L32" s="26" cm="1">
        <f t="array" ref="L32">_xlfn.IFS(G32="A List",_xlfn.XLOOKUP(E32,$B$39:$F$39,$B$40:$F$40),G32="Supporting",_xlfn.XLOOKUP(E32,$I$39:$M$39,$I$40:$M$40),G32="B List",_xlfn.XLOOKUP(E32,$P$39:$T$39,$P$40:$T$40))</f>
        <v>350000</v>
      </c>
      <c r="M32" s="3">
        <v>0</v>
      </c>
      <c r="N32" s="27" cm="1">
        <f t="array" ref="N32">_xlfn.IFS(G32="A List",_xlfn.XLOOKUP(E32,$B$39:$F$39,$B$43:$F$43),G32="Supporting",_xlfn.XLOOKUP(E32,$I$39:$M$39,$I$43:$M$43),G32="B List",_xlfn.XLOOKUP(E32,$P$39:$T$39,$P$43:$T$43))</f>
        <v>25000</v>
      </c>
      <c r="O32" s="3">
        <v>8</v>
      </c>
      <c r="P32" s="27" cm="1">
        <f t="array" ref="P32">_xlfn.IFS(G32="A List",_xlfn.XLOOKUP(E32,$B$39:$F$39,$B$45:$F$45),G32="Supporting",_xlfn.XLOOKUP(E32,$I$39:$M$39,$I$45:$M$45),G32="B List",_xlfn.XLOOKUP(E32,$P$39:$T$39,$P$45:$T$45))</f>
        <v>15000</v>
      </c>
      <c r="Q32" s="3">
        <v>1</v>
      </c>
      <c r="R32" s="27" cm="1">
        <f t="array" ref="R32">_xlfn.IFS(G32="A List",_xlfn.XLOOKUP(E32,$B$39:$F$39,$B$44:$F$44),G32="Supporting",_xlfn.XLOOKUP(E32,$I$39:$M$39,$I$44:$M$44),G32="B List",_xlfn.XLOOKUP(E32,$P$39:$T$39,$P$44:$T$44))</f>
        <v>20000</v>
      </c>
      <c r="S32" s="3">
        <v>0</v>
      </c>
      <c r="T32" s="27" cm="1">
        <f t="array" ref="T32">_xlfn.IFS(G32="A List",_xlfn.XLOOKUP(E32,$B$39:$F$39,$B$41:$F$41),G32="Supporting",_xlfn.XLOOKUP(E32,$I$39:$M$39,$I$41:$M$41),G32="B List",_xlfn.XLOOKUP(E32,$P$39:$T$39,$P$41:$T$41))</f>
        <v>125000</v>
      </c>
      <c r="U32" s="3">
        <v>1</v>
      </c>
      <c r="V32" s="27" cm="1">
        <f t="array" ref="V32">_xlfn.IFS(G32="A List",_xlfn.XLOOKUP(E32,$B$39:$F$39,$B$42:$F$42),G32="Supporting",_xlfn.XLOOKUP(E32,$I$39:$M$39,$I$42:$M$42),G32="B List",_xlfn.XLOOKUP(E32,$P$39:$T$39,$P$42:$T$42))</f>
        <v>175000</v>
      </c>
      <c r="W32" s="3">
        <v>150</v>
      </c>
      <c r="X32" s="27" cm="1">
        <f t="array" ref="X32">_xlfn.IFS(G32="A List",_xlfn.XLOOKUP(E32,$B$39:$F$39,$B$46:$F$46),G32="Supporting",_xlfn.XLOOKUP(E32,$I$39:$M$39,$I$46:$M$46),G32="B List",_xlfn.XLOOKUP(E32,$P$39:$T$39,$P$46:$T$46))</f>
        <v>75</v>
      </c>
      <c r="Y32" s="3">
        <v>29</v>
      </c>
      <c r="Z32" s="3">
        <v>28</v>
      </c>
      <c r="AA32" s="3">
        <v>36</v>
      </c>
      <c r="AB32" s="3">
        <v>38</v>
      </c>
      <c r="AC32" s="3">
        <v>2</v>
      </c>
      <c r="AD32" s="3">
        <v>3</v>
      </c>
      <c r="AE32" s="3">
        <v>2</v>
      </c>
      <c r="AF32" s="3">
        <v>95</v>
      </c>
      <c r="AG32" s="3">
        <v>62</v>
      </c>
      <c r="AH32" s="3">
        <v>34</v>
      </c>
      <c r="AI32" s="3">
        <v>28</v>
      </c>
      <c r="AJ32" s="3">
        <v>33</v>
      </c>
      <c r="AK32" s="3">
        <v>5</v>
      </c>
      <c r="AL32" s="3">
        <v>0</v>
      </c>
      <c r="AM32" s="3">
        <v>0</v>
      </c>
      <c r="AN32" s="3">
        <v>0</v>
      </c>
      <c r="AO32" s="3">
        <v>5</v>
      </c>
      <c r="AP32" s="3">
        <v>53</v>
      </c>
      <c r="AQ32" s="3">
        <v>10</v>
      </c>
      <c r="AR32" s="3">
        <v>43</v>
      </c>
      <c r="AS32" s="3">
        <v>40</v>
      </c>
      <c r="AT32" s="3">
        <v>4</v>
      </c>
      <c r="AU32" s="3">
        <v>3</v>
      </c>
      <c r="AV32" s="3">
        <v>7</v>
      </c>
      <c r="AW32" s="3">
        <v>53</v>
      </c>
      <c r="AX32" s="3">
        <v>33</v>
      </c>
      <c r="AY32" s="3">
        <v>15</v>
      </c>
      <c r="AZ32" s="3">
        <v>49</v>
      </c>
      <c r="BA32" s="3">
        <v>14</v>
      </c>
      <c r="BB32" s="3">
        <v>38</v>
      </c>
      <c r="BC32" s="3">
        <v>5</v>
      </c>
      <c r="BD32" s="3">
        <v>5</v>
      </c>
      <c r="BE32" s="3">
        <v>0</v>
      </c>
      <c r="BF32" s="3">
        <v>18</v>
      </c>
      <c r="BG32" s="3">
        <v>28</v>
      </c>
      <c r="BH32" s="3">
        <v>19</v>
      </c>
      <c r="BI32" s="3">
        <v>5</v>
      </c>
      <c r="BJ32" s="3">
        <v>13</v>
      </c>
      <c r="BK32" s="3">
        <v>9</v>
      </c>
      <c r="BL32" s="3">
        <v>8</v>
      </c>
      <c r="BM32" s="3">
        <v>8</v>
      </c>
      <c r="BN32" s="3">
        <v>3</v>
      </c>
      <c r="BO32" s="3">
        <v>24</v>
      </c>
      <c r="BP32" s="3">
        <v>27</v>
      </c>
      <c r="BQ32" s="3">
        <v>7</v>
      </c>
      <c r="BR32" s="3">
        <v>8</v>
      </c>
      <c r="BS32" s="3">
        <v>8</v>
      </c>
      <c r="BT32" s="3">
        <v>16</v>
      </c>
      <c r="BU32" s="3">
        <v>10</v>
      </c>
      <c r="BV32" s="3">
        <v>9</v>
      </c>
      <c r="BW32" s="3">
        <v>7</v>
      </c>
      <c r="BX32" s="3">
        <v>0</v>
      </c>
      <c r="BY32" s="3">
        <v>16</v>
      </c>
      <c r="BZ32" s="3">
        <v>13</v>
      </c>
      <c r="CA32" s="3">
        <v>25</v>
      </c>
      <c r="CB32" s="3">
        <v>14</v>
      </c>
      <c r="CC32" s="3">
        <v>16</v>
      </c>
      <c r="CD32" s="3">
        <v>24</v>
      </c>
      <c r="CE32" s="3">
        <v>7</v>
      </c>
      <c r="CF32" s="3">
        <v>0</v>
      </c>
      <c r="CG32" s="3">
        <v>3</v>
      </c>
      <c r="CH32" s="3">
        <v>12</v>
      </c>
      <c r="CI32" s="3">
        <v>0</v>
      </c>
      <c r="CJ32" s="3">
        <v>0</v>
      </c>
      <c r="CK32" s="3">
        <v>6</v>
      </c>
      <c r="CL32" s="3">
        <v>21</v>
      </c>
      <c r="CM32" s="3">
        <v>7</v>
      </c>
      <c r="CN32" s="3">
        <v>13</v>
      </c>
      <c r="CO32" s="3">
        <v>12</v>
      </c>
      <c r="CP32" s="3">
        <v>8</v>
      </c>
    </row>
    <row r="33" spans="1:94">
      <c r="A33" s="3">
        <v>448227</v>
      </c>
      <c r="B33" s="5">
        <v>12</v>
      </c>
      <c r="C33" s="4">
        <v>8</v>
      </c>
      <c r="D33" s="5" t="s">
        <v>96</v>
      </c>
      <c r="E33" s="5" t="s">
        <v>102</v>
      </c>
      <c r="F33" s="5">
        <f t="shared" si="0"/>
        <v>16.3</v>
      </c>
      <c r="G33" s="5" t="str" cm="1">
        <f t="array" ref="G33">_xlfn.IFS(F33&lt;24.9,"B List",F33&lt;45,"Supporting",F33&gt;=45,"A List")</f>
        <v>B List</v>
      </c>
      <c r="H33" s="26">
        <f t="shared" si="1"/>
        <v>48000</v>
      </c>
      <c r="I33" s="26">
        <f t="shared" si="2"/>
        <v>4000</v>
      </c>
      <c r="J33" s="28">
        <f t="shared" si="3"/>
        <v>8.2940496401020276</v>
      </c>
      <c r="K33" s="5">
        <v>0</v>
      </c>
      <c r="L33" s="26" cm="1">
        <f t="array" ref="L33">_xlfn.IFS(G33="A List",_xlfn.XLOOKUP(E33,$B$39:$F$39,$B$40:$F$40),G33="Supporting",_xlfn.XLOOKUP(E33,$I$39:$M$39,$I$40:$M$40),G33="B List",_xlfn.XLOOKUP(E33,$P$39:$T$39,$P$40:$T$40))</f>
        <v>350000</v>
      </c>
      <c r="M33" s="3">
        <v>0</v>
      </c>
      <c r="N33" s="27" cm="1">
        <f t="array" ref="N33">_xlfn.IFS(G33="A List",_xlfn.XLOOKUP(E33,$B$39:$F$39,$B$43:$F$43),G33="Supporting",_xlfn.XLOOKUP(E33,$I$39:$M$39,$I$43:$M$43),G33="B List",_xlfn.XLOOKUP(E33,$P$39:$T$39,$P$43:$T$43))</f>
        <v>20000</v>
      </c>
      <c r="O33" s="3">
        <v>3</v>
      </c>
      <c r="P33" s="27" cm="1">
        <f t="array" ref="P33">_xlfn.IFS(G33="A List",_xlfn.XLOOKUP(E33,$B$39:$F$39,$B$45:$F$45),G33="Supporting",_xlfn.XLOOKUP(E33,$I$39:$M$39,$I$45:$M$45),G33="B List",_xlfn.XLOOKUP(E33,$P$39:$T$39,$P$45:$T$45))</f>
        <v>12000</v>
      </c>
      <c r="Q33" s="3">
        <v>1</v>
      </c>
      <c r="R33" s="27" cm="1">
        <f t="array" ref="R33">_xlfn.IFS(G33="A List",_xlfn.XLOOKUP(E33,$B$39:$F$39,$B$44:$F$44),G33="Supporting",_xlfn.XLOOKUP(E33,$I$39:$M$39,$I$44:$M$44),G33="B List",_xlfn.XLOOKUP(E33,$P$39:$T$39,$P$44:$T$44))</f>
        <v>12000</v>
      </c>
      <c r="S33" s="3">
        <v>0</v>
      </c>
      <c r="T33" s="27" cm="1">
        <f t="array" ref="T33">_xlfn.IFS(G33="A List",_xlfn.XLOOKUP(E33,$B$39:$F$39,$B$41:$F$41),G33="Supporting",_xlfn.XLOOKUP(E33,$I$39:$M$39,$I$41:$M$41),G33="B List",_xlfn.XLOOKUP(E33,$P$39:$T$39,$P$41:$T$41))</f>
        <v>0</v>
      </c>
      <c r="U33" s="3">
        <v>0</v>
      </c>
      <c r="V33" s="27" cm="1">
        <f t="array" ref="V33">_xlfn.IFS(G33="A List",_xlfn.XLOOKUP(E33,$B$39:$F$39,$B$42:$F$42),G33="Supporting",_xlfn.XLOOKUP(E33,$I$39:$M$39,$I$42:$M$42),G33="B List",_xlfn.XLOOKUP(E33,$P$39:$T$39,$P$42:$T$42))</f>
        <v>0</v>
      </c>
      <c r="W33" s="3">
        <v>0</v>
      </c>
      <c r="X33" s="27" cm="1">
        <f t="array" ref="X33">_xlfn.IFS(G33="A List",_xlfn.XLOOKUP(E33,$B$39:$F$39,$B$46:$F$46),G33="Supporting",_xlfn.XLOOKUP(E33,$I$39:$M$39,$I$46:$M$46),G33="B List",_xlfn.XLOOKUP(E33,$P$39:$T$39,$P$46:$T$46))</f>
        <v>0</v>
      </c>
      <c r="Y33" s="3">
        <v>45</v>
      </c>
      <c r="Z33" s="3">
        <v>26</v>
      </c>
      <c r="AA33" s="3">
        <v>30</v>
      </c>
      <c r="AB33" s="3">
        <v>29</v>
      </c>
      <c r="AC33" s="3">
        <v>5</v>
      </c>
      <c r="AD33" s="3">
        <v>4</v>
      </c>
      <c r="AE33" s="3">
        <v>5</v>
      </c>
      <c r="AF33" s="3">
        <v>93</v>
      </c>
      <c r="AG33" s="3">
        <v>57</v>
      </c>
      <c r="AH33" s="3">
        <v>31</v>
      </c>
      <c r="AI33" s="3">
        <v>27</v>
      </c>
      <c r="AJ33" s="3">
        <v>35</v>
      </c>
      <c r="AK33" s="3">
        <v>3</v>
      </c>
      <c r="AL33" s="3">
        <v>2</v>
      </c>
      <c r="AM33" s="3">
        <v>3</v>
      </c>
      <c r="AN33" s="3">
        <v>5</v>
      </c>
      <c r="AO33" s="3">
        <v>7</v>
      </c>
      <c r="AP33" s="3">
        <v>41</v>
      </c>
      <c r="AQ33" s="3">
        <v>15</v>
      </c>
      <c r="AR33" s="3">
        <v>27</v>
      </c>
      <c r="AS33" s="3">
        <v>53</v>
      </c>
      <c r="AT33" s="3">
        <v>4</v>
      </c>
      <c r="AU33" s="3">
        <v>1</v>
      </c>
      <c r="AV33" s="3">
        <v>6</v>
      </c>
      <c r="AW33" s="3">
        <v>40</v>
      </c>
      <c r="AX33" s="3">
        <v>52</v>
      </c>
      <c r="AY33" s="3">
        <v>7</v>
      </c>
      <c r="AZ33" s="3">
        <v>35</v>
      </c>
      <c r="BA33" s="3">
        <v>30</v>
      </c>
      <c r="BB33" s="3">
        <v>18</v>
      </c>
      <c r="BC33" s="3">
        <v>3</v>
      </c>
      <c r="BD33" s="3">
        <v>0</v>
      </c>
      <c r="BE33" s="3">
        <v>2</v>
      </c>
      <c r="BF33" s="3">
        <v>14</v>
      </c>
      <c r="BG33" s="3">
        <v>18</v>
      </c>
      <c r="BH33" s="3">
        <v>12</v>
      </c>
      <c r="BI33" s="3">
        <v>2</v>
      </c>
      <c r="BJ33" s="3">
        <v>5</v>
      </c>
      <c r="BK33" s="3">
        <v>9</v>
      </c>
      <c r="BL33" s="3">
        <v>17</v>
      </c>
      <c r="BM33" s="3">
        <v>6</v>
      </c>
      <c r="BN33" s="3">
        <v>3</v>
      </c>
      <c r="BO33" s="3">
        <v>14</v>
      </c>
      <c r="BP33" s="3">
        <v>27</v>
      </c>
      <c r="BQ33" s="3">
        <v>29</v>
      </c>
      <c r="BR33" s="3">
        <v>14</v>
      </c>
      <c r="BS33" s="3">
        <v>4</v>
      </c>
      <c r="BT33" s="3">
        <v>19</v>
      </c>
      <c r="BU33" s="3">
        <v>16</v>
      </c>
      <c r="BV33" s="3">
        <v>21</v>
      </c>
      <c r="BW33" s="3">
        <v>12</v>
      </c>
      <c r="BX33" s="3">
        <v>2</v>
      </c>
      <c r="BY33" s="3">
        <v>17</v>
      </c>
      <c r="BZ33" s="3">
        <v>0</v>
      </c>
      <c r="CA33" s="3">
        <v>38</v>
      </c>
      <c r="CB33" s="3">
        <v>7</v>
      </c>
      <c r="CC33" s="3">
        <v>10</v>
      </c>
      <c r="CD33" s="3">
        <v>17</v>
      </c>
      <c r="CE33" s="3">
        <v>25</v>
      </c>
      <c r="CF33" s="3">
        <v>3</v>
      </c>
      <c r="CG33" s="3">
        <v>6</v>
      </c>
      <c r="CH33" s="3">
        <v>15</v>
      </c>
      <c r="CI33" s="3">
        <v>5</v>
      </c>
      <c r="CJ33" s="3">
        <v>16</v>
      </c>
      <c r="CK33" s="3">
        <v>4</v>
      </c>
      <c r="CL33" s="3">
        <v>23</v>
      </c>
      <c r="CM33" s="3">
        <v>10</v>
      </c>
      <c r="CN33" s="3">
        <v>4</v>
      </c>
      <c r="CO33" s="3">
        <v>11</v>
      </c>
      <c r="CP33" s="3">
        <v>6</v>
      </c>
    </row>
    <row r="34" spans="1:94">
      <c r="A34" s="3">
        <v>791193</v>
      </c>
      <c r="B34" s="3">
        <v>12</v>
      </c>
      <c r="C34" s="4">
        <v>5</v>
      </c>
      <c r="D34" s="5" t="s">
        <v>96</v>
      </c>
      <c r="E34" s="5" t="s">
        <v>97</v>
      </c>
      <c r="F34" s="5">
        <f t="shared" si="0"/>
        <v>14.9</v>
      </c>
      <c r="G34" s="5" t="str" cm="1">
        <f t="array" ref="G34">_xlfn.IFS(F34&lt;24.9,"B List",F34&lt;45,"Supporting",F34&gt;=45,"A List")</f>
        <v>B List</v>
      </c>
      <c r="H34" s="26">
        <f t="shared" si="1"/>
        <v>440000</v>
      </c>
      <c r="I34" s="26">
        <f t="shared" si="2"/>
        <v>36666.666666666664</v>
      </c>
      <c r="J34" s="28">
        <f t="shared" si="3"/>
        <v>10.509623356106443</v>
      </c>
      <c r="K34" s="5">
        <v>1</v>
      </c>
      <c r="L34" s="26" cm="1">
        <f t="array" ref="L34">_xlfn.IFS(G34="A List",_xlfn.XLOOKUP(E34,$B$39:$F$39,$B$40:$F$40),G34="Supporting",_xlfn.XLOOKUP(E34,$I$39:$M$39,$I$40:$M$40),G34="B List",_xlfn.XLOOKUP(E34,$P$39:$T$39,$P$40:$T$40))</f>
        <v>350000</v>
      </c>
      <c r="M34" s="3">
        <v>3</v>
      </c>
      <c r="N34" s="27" cm="1">
        <f t="array" ref="N34">_xlfn.IFS(G34="A List",_xlfn.XLOOKUP(E34,$B$39:$F$39,$B$43:$F$43),G34="Supporting",_xlfn.XLOOKUP(E34,$I$39:$M$39,$I$43:$M$43),G34="B List",_xlfn.XLOOKUP(E34,$P$39:$T$39,$P$43:$T$43))</f>
        <v>30000</v>
      </c>
      <c r="O34" s="3">
        <v>0</v>
      </c>
      <c r="P34" s="27" cm="1">
        <f t="array" ref="P34">_xlfn.IFS(G34="A List",_xlfn.XLOOKUP(E34,$B$39:$F$39,$B$45:$F$45),G34="Supporting",_xlfn.XLOOKUP(E34,$I$39:$M$39,$I$45:$M$45),G34="B List",_xlfn.XLOOKUP(E34,$P$39:$T$39,$P$45:$T$45))</f>
        <v>13000</v>
      </c>
      <c r="Q34" s="3">
        <v>0</v>
      </c>
      <c r="R34" s="27" cm="1">
        <f t="array" ref="R34">_xlfn.IFS(G34="A List",_xlfn.XLOOKUP(E34,$B$39:$F$39,$B$44:$F$44),G34="Supporting",_xlfn.XLOOKUP(E34,$I$39:$M$39,$I$44:$M$44),G34="B List",_xlfn.XLOOKUP(E34,$P$39:$T$39,$P$44:$T$44))</f>
        <v>15000</v>
      </c>
      <c r="S34" s="3">
        <v>0</v>
      </c>
      <c r="T34" s="27" cm="1">
        <f t="array" ref="T34">_xlfn.IFS(G34="A List",_xlfn.XLOOKUP(E34,$B$39:$F$39,$B$41:$F$41),G34="Supporting",_xlfn.XLOOKUP(E34,$I$39:$M$39,$I$41:$M$41),G34="B List",_xlfn.XLOOKUP(E34,$P$39:$T$39,$P$41:$T$41))</f>
        <v>0</v>
      </c>
      <c r="U34" s="3">
        <v>0</v>
      </c>
      <c r="V34" s="27" cm="1">
        <f t="array" ref="V34">_xlfn.IFS(G34="A List",_xlfn.XLOOKUP(E34,$B$39:$F$39,$B$42:$F$42),G34="Supporting",_xlfn.XLOOKUP(E34,$I$39:$M$39,$I$42:$M$42),G34="B List",_xlfn.XLOOKUP(E34,$P$39:$T$39,$P$42:$T$42))</f>
        <v>0</v>
      </c>
      <c r="W34" s="3">
        <v>0</v>
      </c>
      <c r="X34" s="27" cm="1">
        <f t="array" ref="X34">_xlfn.IFS(G34="A List",_xlfn.XLOOKUP(E34,$B$39:$F$39,$B$46:$F$46),G34="Supporting",_xlfn.XLOOKUP(E34,$I$39:$M$39,$I$46:$M$46),G34="B List",_xlfn.XLOOKUP(E34,$P$39:$T$39,$P$46:$T$46))</f>
        <v>0</v>
      </c>
      <c r="Y34" s="3">
        <v>26</v>
      </c>
      <c r="Z34" s="3">
        <v>25</v>
      </c>
      <c r="AA34" s="3">
        <v>27</v>
      </c>
      <c r="AB34" s="3">
        <v>41</v>
      </c>
      <c r="AC34" s="3">
        <v>4</v>
      </c>
      <c r="AD34" s="3">
        <v>3</v>
      </c>
      <c r="AE34" s="3">
        <v>6</v>
      </c>
      <c r="AF34" s="3">
        <v>82</v>
      </c>
      <c r="AG34" s="3">
        <v>54</v>
      </c>
      <c r="AH34" s="3">
        <v>34</v>
      </c>
      <c r="AI34" s="3">
        <v>20</v>
      </c>
      <c r="AJ34" s="3">
        <v>28</v>
      </c>
      <c r="AK34" s="3">
        <v>11</v>
      </c>
      <c r="AL34" s="3">
        <v>5</v>
      </c>
      <c r="AM34" s="3">
        <v>2</v>
      </c>
      <c r="AN34" s="3">
        <v>7</v>
      </c>
      <c r="AO34" s="3">
        <v>18</v>
      </c>
      <c r="AP34" s="3">
        <v>47</v>
      </c>
      <c r="AQ34" s="3">
        <v>15</v>
      </c>
      <c r="AR34" s="3">
        <v>31</v>
      </c>
      <c r="AS34" s="3">
        <v>36</v>
      </c>
      <c r="AT34" s="3">
        <v>10</v>
      </c>
      <c r="AU34" s="3">
        <v>7</v>
      </c>
      <c r="AV34" s="3">
        <v>17</v>
      </c>
      <c r="AW34" s="3">
        <v>35</v>
      </c>
      <c r="AX34" s="3">
        <v>48</v>
      </c>
      <c r="AY34" s="3">
        <v>17</v>
      </c>
      <c r="AZ34" s="3">
        <v>52</v>
      </c>
      <c r="BA34" s="3">
        <v>28</v>
      </c>
      <c r="BB34" s="3">
        <v>34</v>
      </c>
      <c r="BC34" s="3">
        <v>4</v>
      </c>
      <c r="BD34" s="3">
        <v>5</v>
      </c>
      <c r="BE34" s="3">
        <v>4</v>
      </c>
      <c r="BF34" s="3">
        <v>2</v>
      </c>
      <c r="BG34" s="3">
        <v>5</v>
      </c>
      <c r="BH34" s="3">
        <v>14</v>
      </c>
      <c r="BI34" s="3">
        <v>7</v>
      </c>
      <c r="BJ34" s="3">
        <v>15</v>
      </c>
      <c r="BK34" s="3">
        <v>13</v>
      </c>
      <c r="BL34" s="3">
        <v>15</v>
      </c>
      <c r="BM34" s="3">
        <v>5</v>
      </c>
      <c r="BN34" s="3">
        <v>6</v>
      </c>
      <c r="BO34" s="3">
        <v>12</v>
      </c>
      <c r="BP34" s="3">
        <v>15</v>
      </c>
      <c r="BQ34" s="3">
        <v>16</v>
      </c>
      <c r="BR34" s="3">
        <v>13</v>
      </c>
      <c r="BS34" s="3">
        <v>8</v>
      </c>
      <c r="BT34" s="3">
        <v>19</v>
      </c>
      <c r="BU34" s="3">
        <v>7</v>
      </c>
      <c r="BV34" s="3">
        <v>13</v>
      </c>
      <c r="BW34" s="3">
        <v>13</v>
      </c>
      <c r="BX34" s="3">
        <v>6</v>
      </c>
      <c r="BY34" s="3">
        <v>18</v>
      </c>
      <c r="BZ34" s="3">
        <v>5</v>
      </c>
      <c r="CA34" s="3">
        <v>12</v>
      </c>
      <c r="CB34" s="3">
        <v>9</v>
      </c>
      <c r="CC34" s="3">
        <v>5</v>
      </c>
      <c r="CD34" s="3">
        <v>13</v>
      </c>
      <c r="CE34" s="3">
        <v>9</v>
      </c>
      <c r="CF34" s="3">
        <v>2</v>
      </c>
      <c r="CG34" s="3">
        <v>13</v>
      </c>
      <c r="CH34" s="3">
        <v>10</v>
      </c>
      <c r="CI34" s="3">
        <v>5</v>
      </c>
      <c r="CJ34" s="3">
        <v>8</v>
      </c>
      <c r="CK34" s="3">
        <v>13</v>
      </c>
      <c r="CL34" s="3">
        <v>13</v>
      </c>
      <c r="CM34" s="3">
        <v>7</v>
      </c>
      <c r="CN34" s="3">
        <v>13</v>
      </c>
      <c r="CO34" s="3">
        <v>14</v>
      </c>
      <c r="CP34" s="3">
        <v>11</v>
      </c>
    </row>
    <row r="35" spans="1:94">
      <c r="A35" s="3">
        <v>714387</v>
      </c>
      <c r="B35" s="5">
        <v>12</v>
      </c>
      <c r="C35" s="4">
        <v>3</v>
      </c>
      <c r="D35" s="5" t="s">
        <v>96</v>
      </c>
      <c r="E35" s="5" t="s">
        <v>99</v>
      </c>
      <c r="F35" s="5">
        <f t="shared" si="0"/>
        <v>12.899999999999999</v>
      </c>
      <c r="G35" s="5" t="str" cm="1">
        <f t="array" ref="G35">_xlfn.IFS(F35&lt;24.9,"B List",F35&lt;45,"Supporting",F35&gt;=45,"A List")</f>
        <v>B List</v>
      </c>
      <c r="H35" s="26">
        <f t="shared" si="1"/>
        <v>618000</v>
      </c>
      <c r="I35" s="26">
        <f t="shared" si="2"/>
        <v>51500</v>
      </c>
      <c r="J35" s="28">
        <f t="shared" si="3"/>
        <v>10.849337086651827</v>
      </c>
      <c r="K35" s="5">
        <v>0</v>
      </c>
      <c r="L35" s="26" cm="1">
        <f t="array" ref="L35">_xlfn.IFS(G35="A List",_xlfn.XLOOKUP(E35,$B$39:$F$39,$B$40:$F$40),G35="Supporting",_xlfn.XLOOKUP(E35,$I$39:$M$39,$I$40:$M$40),G35="B List",_xlfn.XLOOKUP(E35,$P$39:$T$39,$P$40:$T$40))</f>
        <v>350000</v>
      </c>
      <c r="M35" s="3">
        <v>0</v>
      </c>
      <c r="N35" s="27" cm="1">
        <f t="array" ref="N35">_xlfn.IFS(G35="A List",_xlfn.XLOOKUP(E35,$B$39:$F$39,$B$43:$F$43),G35="Supporting",_xlfn.XLOOKUP(E35,$I$39:$M$39,$I$43:$M$43),G35="B List",_xlfn.XLOOKUP(E35,$P$39:$T$39,$P$43:$T$43))</f>
        <v>25000</v>
      </c>
      <c r="O35" s="3">
        <v>8</v>
      </c>
      <c r="P35" s="27" cm="1">
        <f t="array" ref="P35">_xlfn.IFS(G35="A List",_xlfn.XLOOKUP(E35,$B$39:$F$39,$B$45:$F$45),G35="Supporting",_xlfn.XLOOKUP(E35,$I$39:$M$39,$I$45:$M$45),G35="B List",_xlfn.XLOOKUP(E35,$P$39:$T$39,$P$45:$T$45))</f>
        <v>15000</v>
      </c>
      <c r="Q35" s="3">
        <v>1</v>
      </c>
      <c r="R35" s="27" cm="1">
        <f t="array" ref="R35">_xlfn.IFS(G35="A List",_xlfn.XLOOKUP(E35,$B$39:$F$39,$B$44:$F$44),G35="Supporting",_xlfn.XLOOKUP(E35,$I$39:$M$39,$I$44:$M$44),G35="B List",_xlfn.XLOOKUP(E35,$P$39:$T$39,$P$44:$T$44))</f>
        <v>20000</v>
      </c>
      <c r="S35" s="3">
        <v>1</v>
      </c>
      <c r="T35" s="27" cm="1">
        <f t="array" ref="T35">_xlfn.IFS(G35="A List",_xlfn.XLOOKUP(E35,$B$39:$F$39,$B$41:$F$41),G35="Supporting",_xlfn.XLOOKUP(E35,$I$39:$M$39,$I$41:$M$41),G35="B List",_xlfn.XLOOKUP(E35,$P$39:$T$39,$P$41:$T$41))</f>
        <v>125000</v>
      </c>
      <c r="U35" s="3">
        <v>2</v>
      </c>
      <c r="V35" s="27" cm="1">
        <f t="array" ref="V35">_xlfn.IFS(G35="A List",_xlfn.XLOOKUP(E35,$B$39:$F$39,$B$42:$F$42),G35="Supporting",_xlfn.XLOOKUP(E35,$I$39:$M$39,$I$42:$M$42),G35="B List",_xlfn.XLOOKUP(E35,$P$39:$T$39,$P$42:$T$42))</f>
        <v>175000</v>
      </c>
      <c r="W35" s="3">
        <v>40</v>
      </c>
      <c r="X35" s="27" cm="1">
        <f t="array" ref="X35">_xlfn.IFS(G35="A List",_xlfn.XLOOKUP(E35,$B$39:$F$39,$B$46:$F$46),G35="Supporting",_xlfn.XLOOKUP(E35,$I$39:$M$39,$I$46:$M$46),G35="B List",_xlfn.XLOOKUP(E35,$P$39:$T$39,$P$46:$T$46))</f>
        <v>75</v>
      </c>
      <c r="Y35" s="3">
        <v>14</v>
      </c>
      <c r="Z35" s="3">
        <v>24</v>
      </c>
      <c r="AA35" s="3">
        <v>21</v>
      </c>
      <c r="AB35" s="3">
        <v>35</v>
      </c>
      <c r="AC35" s="3">
        <v>3</v>
      </c>
      <c r="AD35" s="3">
        <v>3</v>
      </c>
      <c r="AE35" s="3">
        <v>3</v>
      </c>
      <c r="AF35" s="3">
        <v>84</v>
      </c>
      <c r="AG35" s="3">
        <v>37</v>
      </c>
      <c r="AH35" s="3">
        <v>28</v>
      </c>
      <c r="AI35" s="3">
        <v>9</v>
      </c>
      <c r="AJ35" s="3">
        <v>48</v>
      </c>
      <c r="AK35" s="3">
        <v>3</v>
      </c>
      <c r="AL35" s="3">
        <v>3</v>
      </c>
      <c r="AM35" s="3">
        <v>10</v>
      </c>
      <c r="AN35" s="3">
        <v>13</v>
      </c>
      <c r="AO35" s="3">
        <v>16</v>
      </c>
      <c r="AP35" s="3">
        <v>51</v>
      </c>
      <c r="AQ35" s="3">
        <v>11</v>
      </c>
      <c r="AR35" s="3">
        <v>40</v>
      </c>
      <c r="AS35" s="3">
        <v>33</v>
      </c>
      <c r="AT35" s="3">
        <v>5</v>
      </c>
      <c r="AU35" s="3">
        <v>12</v>
      </c>
      <c r="AV35" s="3">
        <v>17</v>
      </c>
      <c r="AW35" s="3">
        <v>22</v>
      </c>
      <c r="AX35" s="3">
        <v>59</v>
      </c>
      <c r="AY35" s="3">
        <v>19</v>
      </c>
      <c r="AZ35" s="3">
        <v>44</v>
      </c>
      <c r="BA35" s="3">
        <v>29</v>
      </c>
      <c r="BB35" s="3">
        <v>23</v>
      </c>
      <c r="BC35" s="3">
        <v>2</v>
      </c>
      <c r="BD35" s="3">
        <v>4</v>
      </c>
      <c r="BE35" s="3">
        <v>0</v>
      </c>
      <c r="BF35" s="3">
        <v>18</v>
      </c>
      <c r="BG35" s="3">
        <v>13</v>
      </c>
      <c r="BH35" s="3">
        <v>10</v>
      </c>
      <c r="BI35" s="3">
        <v>12</v>
      </c>
      <c r="BJ35" s="3">
        <v>10</v>
      </c>
      <c r="BK35" s="3">
        <v>9</v>
      </c>
      <c r="BL35" s="3">
        <v>15</v>
      </c>
      <c r="BM35" s="3">
        <v>16</v>
      </c>
      <c r="BN35" s="3">
        <v>0</v>
      </c>
      <c r="BO35" s="3">
        <v>7</v>
      </c>
      <c r="BP35" s="3">
        <v>25</v>
      </c>
      <c r="BQ35" s="3">
        <v>12</v>
      </c>
      <c r="BR35" s="3">
        <v>11</v>
      </c>
      <c r="BS35" s="3">
        <v>13</v>
      </c>
      <c r="BT35" s="3">
        <v>16</v>
      </c>
      <c r="BU35" s="3">
        <v>16</v>
      </c>
      <c r="BV35" s="3">
        <v>10</v>
      </c>
      <c r="BW35" s="3">
        <v>19</v>
      </c>
      <c r="BX35" s="3">
        <v>4</v>
      </c>
      <c r="BY35" s="3">
        <v>20</v>
      </c>
      <c r="BZ35" s="3">
        <v>4</v>
      </c>
      <c r="CA35" s="3">
        <v>25</v>
      </c>
      <c r="CB35" s="3">
        <v>16</v>
      </c>
      <c r="CC35" s="3">
        <v>10</v>
      </c>
      <c r="CD35" s="3">
        <v>9</v>
      </c>
      <c r="CE35" s="3">
        <v>13</v>
      </c>
      <c r="CF35" s="3">
        <v>3</v>
      </c>
      <c r="CG35" s="3">
        <v>7</v>
      </c>
      <c r="CH35" s="3">
        <v>8</v>
      </c>
      <c r="CI35" s="3">
        <v>0</v>
      </c>
      <c r="CJ35" s="3">
        <v>3</v>
      </c>
      <c r="CK35" s="3">
        <v>21</v>
      </c>
      <c r="CL35" s="3">
        <v>20</v>
      </c>
      <c r="CM35" s="3">
        <v>0</v>
      </c>
      <c r="CN35" s="3">
        <v>3</v>
      </c>
      <c r="CO35" s="3">
        <v>3</v>
      </c>
      <c r="CP35" s="3">
        <v>11</v>
      </c>
    </row>
    <row r="36" spans="1:94">
      <c r="A36" s="3">
        <v>829240</v>
      </c>
      <c r="B36" s="3">
        <v>12</v>
      </c>
      <c r="C36" s="4">
        <v>150</v>
      </c>
      <c r="D36" s="5" t="s">
        <v>96</v>
      </c>
      <c r="E36" s="5" t="s">
        <v>98</v>
      </c>
      <c r="F36" s="5">
        <f t="shared" si="0"/>
        <v>12.5</v>
      </c>
      <c r="G36" s="5" t="str" cm="1">
        <f t="array" ref="G36">_xlfn.IFS(F36&lt;24.9,"B List",F36&lt;45,"Supporting",F36&gt;=45,"A List")</f>
        <v>B List</v>
      </c>
      <c r="H36" s="26">
        <f t="shared" si="1"/>
        <v>136000</v>
      </c>
      <c r="I36" s="26">
        <f t="shared" si="2"/>
        <v>11333.333333333334</v>
      </c>
      <c r="J36" s="28">
        <f t="shared" si="3"/>
        <v>9.3355035149301884</v>
      </c>
      <c r="K36" s="5">
        <v>0</v>
      </c>
      <c r="L36" s="26" cm="1">
        <f t="array" ref="L36">_xlfn.IFS(G36="A List",_xlfn.XLOOKUP(E36,$B$39:$F$39,$B$40:$F$40),G36="Supporting",_xlfn.XLOOKUP(E36,$I$39:$M$39,$I$40:$M$40),G36="B List",_xlfn.XLOOKUP(E36,$P$39:$T$39,$P$40:$T$40))</f>
        <v>350000</v>
      </c>
      <c r="M36" s="3">
        <v>2</v>
      </c>
      <c r="N36" s="27" cm="1">
        <f t="array" ref="N36">_xlfn.IFS(G36="A List",_xlfn.XLOOKUP(E36,$B$39:$F$39,$B$43:$F$43),G36="Supporting",_xlfn.XLOOKUP(E36,$I$39:$M$39,$I$43:$M$43),G36="B List",_xlfn.XLOOKUP(E36,$P$39:$T$39,$P$43:$T$43))</f>
        <v>20000</v>
      </c>
      <c r="O36" s="3">
        <v>5</v>
      </c>
      <c r="P36" s="27" cm="1">
        <f t="array" ref="P36">_xlfn.IFS(G36="A List",_xlfn.XLOOKUP(E36,$B$39:$F$39,$B$45:$F$45),G36="Supporting",_xlfn.XLOOKUP(E36,$I$39:$M$39,$I$45:$M$45),G36="B List",_xlfn.XLOOKUP(E36,$P$39:$T$39,$P$45:$T$45))</f>
        <v>12000</v>
      </c>
      <c r="Q36" s="3">
        <v>2</v>
      </c>
      <c r="R36" s="27" cm="1">
        <f t="array" ref="R36">_xlfn.IFS(G36="A List",_xlfn.XLOOKUP(E36,$B$39:$F$39,$B$44:$F$44),G36="Supporting",_xlfn.XLOOKUP(E36,$I$39:$M$39,$I$44:$M$44),G36="B List",_xlfn.XLOOKUP(E36,$P$39:$T$39,$P$44:$T$44))</f>
        <v>18000</v>
      </c>
      <c r="S36" s="3">
        <v>0</v>
      </c>
      <c r="T36" s="27" cm="1">
        <f t="array" ref="T36">_xlfn.IFS(G36="A List",_xlfn.XLOOKUP(E36,$B$39:$F$39,$B$41:$F$41),G36="Supporting",_xlfn.XLOOKUP(E36,$I$39:$M$39,$I$41:$M$41),G36="B List",_xlfn.XLOOKUP(E36,$P$39:$T$39,$P$41:$T$41))</f>
        <v>0</v>
      </c>
      <c r="U36" s="3">
        <v>0</v>
      </c>
      <c r="V36" s="27" cm="1">
        <f t="array" ref="V36">_xlfn.IFS(G36="A List",_xlfn.XLOOKUP(E36,$B$39:$F$39,$B$42:$F$42),G36="Supporting",_xlfn.XLOOKUP(E36,$I$39:$M$39,$I$42:$M$42),G36="B List",_xlfn.XLOOKUP(E36,$P$39:$T$39,$P$42:$T$42))</f>
        <v>0</v>
      </c>
      <c r="W36" s="3">
        <v>0</v>
      </c>
      <c r="X36" s="27" cm="1">
        <f t="array" ref="X36">_xlfn.IFS(G36="A List",_xlfn.XLOOKUP(E36,$B$39:$F$39,$B$46:$F$46),G36="Supporting",_xlfn.XLOOKUP(E36,$I$39:$M$39,$I$46:$M$46),G36="B List",_xlfn.XLOOKUP(E36,$P$39:$T$39,$P$46:$T$46))</f>
        <v>60</v>
      </c>
      <c r="Y36" s="3">
        <v>6</v>
      </c>
      <c r="Z36" s="3">
        <v>21</v>
      </c>
      <c r="AA36" s="3">
        <v>26</v>
      </c>
      <c r="AB36" s="3">
        <v>32</v>
      </c>
      <c r="AC36" s="3">
        <v>2</v>
      </c>
      <c r="AD36" s="3">
        <v>1</v>
      </c>
      <c r="AE36" s="3">
        <v>3</v>
      </c>
      <c r="AF36" s="3">
        <v>84</v>
      </c>
      <c r="AG36" s="3">
        <v>48</v>
      </c>
      <c r="AH36" s="3">
        <v>21</v>
      </c>
      <c r="AI36" s="3">
        <v>26</v>
      </c>
      <c r="AJ36" s="3">
        <v>37</v>
      </c>
      <c r="AK36" s="3">
        <v>9</v>
      </c>
      <c r="AL36" s="3">
        <v>0</v>
      </c>
      <c r="AM36" s="3">
        <v>7</v>
      </c>
      <c r="AN36" s="3">
        <v>7</v>
      </c>
      <c r="AO36" s="3">
        <v>16</v>
      </c>
      <c r="AP36" s="3">
        <v>38</v>
      </c>
      <c r="AQ36" s="3">
        <v>13</v>
      </c>
      <c r="AR36" s="3">
        <v>25</v>
      </c>
      <c r="AS36" s="3">
        <v>52</v>
      </c>
      <c r="AT36" s="3">
        <v>6</v>
      </c>
      <c r="AU36" s="3">
        <v>4</v>
      </c>
      <c r="AV36" s="3">
        <v>10</v>
      </c>
      <c r="AW36" s="3">
        <v>32</v>
      </c>
      <c r="AX36" s="3">
        <v>57</v>
      </c>
      <c r="AY36" s="3">
        <v>10</v>
      </c>
      <c r="AZ36" s="3">
        <v>40</v>
      </c>
      <c r="BA36" s="3">
        <v>22</v>
      </c>
      <c r="BB36" s="3">
        <v>18</v>
      </c>
      <c r="BC36" s="3">
        <v>0</v>
      </c>
      <c r="BD36" s="3">
        <v>10</v>
      </c>
      <c r="BE36" s="3">
        <v>4</v>
      </c>
      <c r="BF36" s="3">
        <v>17</v>
      </c>
      <c r="BG36" s="3">
        <v>10</v>
      </c>
      <c r="BH36" s="3">
        <v>16</v>
      </c>
      <c r="BI36" s="3">
        <v>3</v>
      </c>
      <c r="BJ36" s="3">
        <v>0</v>
      </c>
      <c r="BK36" s="3">
        <v>11</v>
      </c>
      <c r="BL36" s="3">
        <v>19</v>
      </c>
      <c r="BM36" s="3">
        <v>27</v>
      </c>
      <c r="BN36" s="3">
        <v>7</v>
      </c>
      <c r="BO36" s="3">
        <v>6</v>
      </c>
      <c r="BP36" s="3">
        <v>15</v>
      </c>
      <c r="BQ36" s="3">
        <v>26</v>
      </c>
      <c r="BR36" s="3">
        <v>16</v>
      </c>
      <c r="BS36" s="3">
        <v>10</v>
      </c>
      <c r="BT36" s="3">
        <v>10</v>
      </c>
      <c r="BU36" s="3">
        <v>14</v>
      </c>
      <c r="BV36" s="3">
        <v>21</v>
      </c>
      <c r="BW36" s="3">
        <v>14</v>
      </c>
      <c r="BX36" s="3">
        <v>4</v>
      </c>
      <c r="BY36" s="3">
        <v>0</v>
      </c>
      <c r="BZ36" s="3">
        <v>5</v>
      </c>
      <c r="CA36" s="3">
        <v>29</v>
      </c>
      <c r="CB36" s="3">
        <v>1</v>
      </c>
      <c r="CC36" s="3">
        <v>6</v>
      </c>
      <c r="CD36" s="3">
        <v>24</v>
      </c>
      <c r="CE36" s="3">
        <v>17</v>
      </c>
      <c r="CF36" s="3">
        <v>3</v>
      </c>
      <c r="CG36" s="3">
        <v>11</v>
      </c>
      <c r="CH36" s="3">
        <v>11</v>
      </c>
      <c r="CI36" s="3">
        <v>0</v>
      </c>
      <c r="CJ36" s="3">
        <v>17</v>
      </c>
      <c r="CK36" s="3">
        <v>6</v>
      </c>
      <c r="CL36" s="3">
        <v>15</v>
      </c>
      <c r="CM36" s="3">
        <v>0</v>
      </c>
      <c r="CN36" s="3">
        <v>11</v>
      </c>
      <c r="CO36" s="3">
        <v>6</v>
      </c>
      <c r="CP36" s="3">
        <v>0</v>
      </c>
    </row>
    <row r="38" spans="1:94" ht="15" thickBot="1"/>
    <row r="39" spans="1:94" ht="15" thickBot="1">
      <c r="A39" s="20" t="s">
        <v>103</v>
      </c>
      <c r="B39" s="18" t="s">
        <v>97</v>
      </c>
      <c r="C39" s="11" t="s">
        <v>99</v>
      </c>
      <c r="D39" s="10" t="s">
        <v>98</v>
      </c>
      <c r="E39" s="10" t="s">
        <v>102</v>
      </c>
      <c r="F39" s="10" t="s">
        <v>101</v>
      </c>
      <c r="H39" s="20" t="s">
        <v>104</v>
      </c>
      <c r="I39" s="18" t="s">
        <v>97</v>
      </c>
      <c r="J39" s="11" t="s">
        <v>99</v>
      </c>
      <c r="K39" s="10" t="s">
        <v>98</v>
      </c>
      <c r="L39" s="10" t="s">
        <v>102</v>
      </c>
      <c r="M39" s="10" t="s">
        <v>101</v>
      </c>
      <c r="O39" s="20" t="s">
        <v>105</v>
      </c>
      <c r="P39" s="18" t="s">
        <v>97</v>
      </c>
      <c r="Q39" s="11" t="s">
        <v>99</v>
      </c>
      <c r="R39" s="10" t="s">
        <v>98</v>
      </c>
      <c r="S39" s="10" t="s">
        <v>102</v>
      </c>
      <c r="T39" s="10" t="s">
        <v>101</v>
      </c>
    </row>
    <row r="40" spans="1:94">
      <c r="A40" s="19" t="s">
        <v>12</v>
      </c>
      <c r="B40" s="12">
        <v>2500000</v>
      </c>
      <c r="C40" s="13">
        <v>2500000</v>
      </c>
      <c r="D40" s="12">
        <v>2500000</v>
      </c>
      <c r="E40" s="12">
        <v>2500000</v>
      </c>
      <c r="F40" s="12">
        <v>2500000</v>
      </c>
      <c r="H40" s="19" t="s">
        <v>12</v>
      </c>
      <c r="I40" s="12">
        <v>1000000</v>
      </c>
      <c r="J40" s="13">
        <v>1000000</v>
      </c>
      <c r="K40" s="12">
        <v>1000000</v>
      </c>
      <c r="L40" s="12">
        <v>1000000</v>
      </c>
      <c r="M40" s="12">
        <v>1000000</v>
      </c>
      <c r="O40" s="19" t="s">
        <v>12</v>
      </c>
      <c r="P40" s="12">
        <v>350000</v>
      </c>
      <c r="Q40" s="13">
        <v>350000</v>
      </c>
      <c r="R40" s="12">
        <v>350000</v>
      </c>
      <c r="S40" s="12">
        <v>350000</v>
      </c>
      <c r="T40" s="12">
        <v>350000</v>
      </c>
    </row>
    <row r="41" spans="1:94">
      <c r="A41" s="10" t="s">
        <v>20</v>
      </c>
      <c r="B41" s="3">
        <v>0</v>
      </c>
      <c r="C41" s="13">
        <v>1500000</v>
      </c>
      <c r="D41" s="3">
        <v>0</v>
      </c>
      <c r="E41" s="3">
        <v>0</v>
      </c>
      <c r="F41" s="12">
        <v>500000</v>
      </c>
      <c r="H41" s="10" t="s">
        <v>20</v>
      </c>
      <c r="I41" s="16">
        <v>0</v>
      </c>
      <c r="J41" s="21">
        <v>500000</v>
      </c>
      <c r="K41" s="16">
        <v>0</v>
      </c>
      <c r="L41" s="16">
        <v>0</v>
      </c>
      <c r="M41" s="22">
        <v>175000</v>
      </c>
      <c r="O41" s="10" t="s">
        <v>20</v>
      </c>
      <c r="P41" s="16">
        <v>0</v>
      </c>
      <c r="Q41" s="21">
        <v>125000</v>
      </c>
      <c r="R41" s="16">
        <v>0</v>
      </c>
      <c r="S41" s="16">
        <v>0</v>
      </c>
      <c r="T41" s="22">
        <v>50000</v>
      </c>
    </row>
    <row r="42" spans="1:94">
      <c r="A42" s="10" t="s">
        <v>106</v>
      </c>
      <c r="B42" s="3">
        <v>0</v>
      </c>
      <c r="C42" s="14">
        <v>1000000</v>
      </c>
      <c r="D42" s="3">
        <v>0</v>
      </c>
      <c r="E42" s="3">
        <v>0</v>
      </c>
      <c r="F42" s="3">
        <v>0</v>
      </c>
      <c r="H42" s="10" t="s">
        <v>106</v>
      </c>
      <c r="I42" s="16">
        <v>0</v>
      </c>
      <c r="J42" s="17">
        <v>500000</v>
      </c>
      <c r="K42" s="16">
        <v>0</v>
      </c>
      <c r="L42" s="16">
        <v>0</v>
      </c>
      <c r="M42" s="16">
        <v>0</v>
      </c>
      <c r="O42" s="10" t="s">
        <v>106</v>
      </c>
      <c r="P42" s="16">
        <v>0</v>
      </c>
      <c r="Q42" s="15">
        <v>175000</v>
      </c>
      <c r="R42" s="16">
        <v>0</v>
      </c>
      <c r="S42" s="16">
        <v>0</v>
      </c>
      <c r="T42" s="16">
        <v>0</v>
      </c>
    </row>
    <row r="43" spans="1:94">
      <c r="A43" s="10" t="s">
        <v>107</v>
      </c>
      <c r="B43" s="3">
        <v>300000</v>
      </c>
      <c r="C43" s="14">
        <v>250000</v>
      </c>
      <c r="D43" s="3">
        <v>225000</v>
      </c>
      <c r="E43" s="3">
        <v>180000</v>
      </c>
      <c r="F43" s="3">
        <v>220000</v>
      </c>
      <c r="H43" s="10" t="s">
        <v>107</v>
      </c>
      <c r="I43" s="15">
        <v>125000</v>
      </c>
      <c r="J43" s="15">
        <v>100000</v>
      </c>
      <c r="K43" s="15">
        <v>85000</v>
      </c>
      <c r="L43" s="15">
        <v>75000</v>
      </c>
      <c r="M43" s="15">
        <v>90000</v>
      </c>
      <c r="O43" s="23" t="s">
        <v>107</v>
      </c>
      <c r="P43" s="15">
        <v>30000</v>
      </c>
      <c r="Q43" s="15">
        <v>25000</v>
      </c>
      <c r="R43" s="15">
        <v>20000</v>
      </c>
      <c r="S43" s="15">
        <v>20000</v>
      </c>
      <c r="T43" s="15">
        <v>25000</v>
      </c>
    </row>
    <row r="44" spans="1:94">
      <c r="A44" s="10" t="s">
        <v>108</v>
      </c>
      <c r="B44" s="3">
        <v>150000</v>
      </c>
      <c r="C44" s="14">
        <v>175000</v>
      </c>
      <c r="D44" s="3">
        <v>175000</v>
      </c>
      <c r="E44" s="3">
        <v>100000</v>
      </c>
      <c r="F44" s="3">
        <v>80000</v>
      </c>
      <c r="H44" s="10" t="s">
        <v>108</v>
      </c>
      <c r="I44" s="15">
        <v>50000</v>
      </c>
      <c r="J44" s="15">
        <v>60000</v>
      </c>
      <c r="K44" s="15">
        <v>55000</v>
      </c>
      <c r="L44" s="15">
        <v>40000</v>
      </c>
      <c r="M44" s="15">
        <v>30000</v>
      </c>
      <c r="O44" s="23" t="s">
        <v>108</v>
      </c>
      <c r="P44" s="15">
        <v>15000</v>
      </c>
      <c r="Q44" s="15">
        <v>20000</v>
      </c>
      <c r="R44" s="15">
        <v>18000</v>
      </c>
      <c r="S44" s="15">
        <v>12000</v>
      </c>
      <c r="T44" s="15">
        <v>10000</v>
      </c>
    </row>
    <row r="45" spans="1:94">
      <c r="A45" s="10" t="s">
        <v>109</v>
      </c>
      <c r="B45" s="15">
        <v>70000</v>
      </c>
      <c r="C45" s="15">
        <v>80000</v>
      </c>
      <c r="D45" s="15">
        <v>75000</v>
      </c>
      <c r="E45" s="15">
        <v>55000</v>
      </c>
      <c r="F45" s="15">
        <v>50000</v>
      </c>
      <c r="H45" s="10" t="s">
        <v>109</v>
      </c>
      <c r="I45" s="15">
        <v>35000</v>
      </c>
      <c r="J45" s="15">
        <v>40000</v>
      </c>
      <c r="K45" s="15">
        <v>35000</v>
      </c>
      <c r="L45" s="15">
        <v>30000</v>
      </c>
      <c r="M45" s="15">
        <v>25000</v>
      </c>
      <c r="O45" s="23" t="s">
        <v>109</v>
      </c>
      <c r="P45" s="15">
        <v>13000</v>
      </c>
      <c r="Q45" s="15">
        <v>15000</v>
      </c>
      <c r="R45" s="15">
        <v>12000</v>
      </c>
      <c r="S45" s="15">
        <v>12000</v>
      </c>
      <c r="T45" s="15">
        <v>10000</v>
      </c>
    </row>
    <row r="46" spans="1:94">
      <c r="A46" s="10" t="s">
        <v>24</v>
      </c>
      <c r="B46" s="16">
        <v>0</v>
      </c>
      <c r="C46" s="17">
        <v>300</v>
      </c>
      <c r="D46" s="16">
        <v>400</v>
      </c>
      <c r="E46" s="16">
        <v>0</v>
      </c>
      <c r="F46" s="16">
        <v>160</v>
      </c>
      <c r="H46" s="10" t="s">
        <v>24</v>
      </c>
      <c r="I46" s="16">
        <v>0</v>
      </c>
      <c r="J46" s="17">
        <v>150</v>
      </c>
      <c r="K46" s="16">
        <v>150</v>
      </c>
      <c r="L46" s="16">
        <v>0</v>
      </c>
      <c r="M46" s="16">
        <v>90</v>
      </c>
      <c r="O46" s="23" t="s">
        <v>24</v>
      </c>
      <c r="P46" s="16">
        <v>0</v>
      </c>
      <c r="Q46" s="17">
        <v>75</v>
      </c>
      <c r="R46" s="16">
        <v>60</v>
      </c>
      <c r="S46" s="16">
        <v>0</v>
      </c>
      <c r="T46" s="16">
        <v>45</v>
      </c>
    </row>
  </sheetData>
  <autoFilter ref="A2:CP36" xr:uid="{012B2F9F-EE9E-4AC6-A3B8-1F6532D7212C}">
    <sortState xmlns:xlrd2="http://schemas.microsoft.com/office/spreadsheetml/2017/richdata2" ref="A3:CP36">
      <sortCondition descending="1" ref="F2:F36"/>
    </sortState>
  </autoFilter>
  <mergeCells count="2">
    <mergeCell ref="AB1:CP1"/>
    <mergeCell ref="K1:X1"/>
  </mergeCells>
  <conditionalFormatting sqref="F3:F36">
    <cfRule type="cellIs" dxfId="2" priority="1" operator="greaterThan">
      <formula>45</formula>
    </cfRule>
    <cfRule type="cellIs" dxfId="1" priority="2" operator="between">
      <formula>25</formula>
      <formula>45</formula>
    </cfRule>
    <cfRule type="cellIs" dxfId="0" priority="3" operator="lessThan">
      <formula>24.9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6010-47F5-430D-B6AB-F801C923DCA7}">
  <sheetPr>
    <tabColor theme="5"/>
  </sheetPr>
  <dimension ref="A1:P22"/>
  <sheetViews>
    <sheetView zoomScaleNormal="100" workbookViewId="0">
      <selection activeCell="D20" sqref="D20"/>
    </sheetView>
  </sheetViews>
  <sheetFormatPr defaultRowHeight="14.45"/>
  <cols>
    <col min="1" max="1" width="10.85546875" bestFit="1" customWidth="1"/>
    <col min="2" max="2" width="24.140625" bestFit="1" customWidth="1"/>
    <col min="3" max="3" width="26.7109375" bestFit="1" customWidth="1"/>
    <col min="4" max="4" width="19.28515625" bestFit="1" customWidth="1"/>
    <col min="5" max="5" width="13.7109375" bestFit="1" customWidth="1"/>
    <col min="8" max="8" width="25.7109375" bestFit="1" customWidth="1"/>
    <col min="9" max="11" width="13.28515625" bestFit="1" customWidth="1"/>
    <col min="12" max="12" width="12.7109375" bestFit="1" customWidth="1"/>
    <col min="13" max="16" width="13.28515625" bestFit="1" customWidth="1"/>
    <col min="17" max="17" width="12.7109375" bestFit="1" customWidth="1"/>
  </cols>
  <sheetData>
    <row r="1" spans="1:13" ht="15" thickBot="1"/>
    <row r="2" spans="1:13" ht="15" thickBot="1">
      <c r="A2" s="7" t="s">
        <v>2</v>
      </c>
      <c r="B2" s="29" t="s">
        <v>11</v>
      </c>
      <c r="C2" s="33" t="s">
        <v>55</v>
      </c>
      <c r="D2" s="40" t="s">
        <v>73</v>
      </c>
      <c r="E2" s="33" t="s">
        <v>79</v>
      </c>
      <c r="F2" s="35" t="s">
        <v>94</v>
      </c>
      <c r="H2" t="s">
        <v>110</v>
      </c>
    </row>
    <row r="3" spans="1:13" ht="15" thickBot="1">
      <c r="A3" s="3">
        <v>363670</v>
      </c>
      <c r="B3" s="28">
        <v>12.644327576461329</v>
      </c>
      <c r="C3" s="3">
        <v>12</v>
      </c>
      <c r="D3" s="3">
        <v>30</v>
      </c>
      <c r="E3" s="3">
        <v>3</v>
      </c>
      <c r="F3" s="3">
        <v>20</v>
      </c>
    </row>
    <row r="4" spans="1:13">
      <c r="A4" s="3">
        <v>103507</v>
      </c>
      <c r="B4" s="28">
        <v>11.911421903762299</v>
      </c>
      <c r="C4" s="3">
        <v>7</v>
      </c>
      <c r="D4" s="3">
        <v>14</v>
      </c>
      <c r="E4" s="3">
        <v>5</v>
      </c>
      <c r="F4" s="3">
        <v>9</v>
      </c>
      <c r="H4" s="32" t="s">
        <v>111</v>
      </c>
      <c r="I4" s="32"/>
    </row>
    <row r="5" spans="1:13">
      <c r="A5" s="8">
        <v>554026</v>
      </c>
      <c r="B5" s="28">
        <v>13.027442010891209</v>
      </c>
      <c r="C5" s="3">
        <v>15</v>
      </c>
      <c r="D5" s="3">
        <v>27</v>
      </c>
      <c r="E5" s="3">
        <v>3</v>
      </c>
      <c r="F5" s="3">
        <v>24</v>
      </c>
      <c r="H5" t="s">
        <v>112</v>
      </c>
      <c r="I5">
        <v>0.96394133357864564</v>
      </c>
    </row>
    <row r="6" spans="1:13">
      <c r="A6" s="3">
        <v>124932</v>
      </c>
      <c r="B6" s="28">
        <v>12.506177237980511</v>
      </c>
      <c r="C6" s="3">
        <v>7</v>
      </c>
      <c r="D6" s="3">
        <v>18</v>
      </c>
      <c r="E6" s="3">
        <v>4</v>
      </c>
      <c r="F6" s="3">
        <v>11</v>
      </c>
      <c r="H6" t="s">
        <v>113</v>
      </c>
      <c r="I6">
        <v>0.92918289458137771</v>
      </c>
    </row>
    <row r="7" spans="1:13">
      <c r="A7" s="3">
        <v>245103</v>
      </c>
      <c r="B7" s="28">
        <v>11.526718787102563</v>
      </c>
      <c r="C7" s="3">
        <v>10</v>
      </c>
      <c r="D7" s="3">
        <v>19</v>
      </c>
      <c r="E7" s="3">
        <v>2</v>
      </c>
      <c r="F7" s="3">
        <v>9</v>
      </c>
      <c r="H7" t="s">
        <v>114</v>
      </c>
      <c r="I7">
        <v>0.89770862550643449</v>
      </c>
    </row>
    <row r="8" spans="1:13">
      <c r="A8" s="3">
        <v>741355</v>
      </c>
      <c r="B8" s="28">
        <v>11.159222291420653</v>
      </c>
      <c r="C8" s="3">
        <v>11</v>
      </c>
      <c r="D8" s="3">
        <v>7</v>
      </c>
      <c r="E8" s="3">
        <v>10</v>
      </c>
      <c r="F8" s="3">
        <v>10</v>
      </c>
      <c r="H8" t="s">
        <v>115</v>
      </c>
      <c r="I8">
        <v>0.31008290139138894</v>
      </c>
    </row>
    <row r="9" spans="1:13" ht="15" thickBot="1">
      <c r="A9" s="3">
        <v>109471</v>
      </c>
      <c r="B9" s="28">
        <v>11.736069016284437</v>
      </c>
      <c r="C9" s="3">
        <v>15</v>
      </c>
      <c r="D9" s="3">
        <v>26</v>
      </c>
      <c r="E9" s="3">
        <v>11</v>
      </c>
      <c r="F9" s="3">
        <v>16</v>
      </c>
      <c r="H9" s="30" t="s">
        <v>116</v>
      </c>
      <c r="I9" s="30">
        <v>14</v>
      </c>
    </row>
    <row r="10" spans="1:13">
      <c r="A10" s="3">
        <v>863003</v>
      </c>
      <c r="B10" s="28">
        <v>11.05016824424526</v>
      </c>
      <c r="C10" s="3">
        <v>22</v>
      </c>
      <c r="D10" s="3">
        <v>4</v>
      </c>
      <c r="E10" s="3">
        <v>8</v>
      </c>
      <c r="F10" s="3">
        <v>21</v>
      </c>
    </row>
    <row r="11" spans="1:13" ht="15" thickBot="1">
      <c r="A11" s="3">
        <v>595416</v>
      </c>
      <c r="B11" s="28">
        <v>12.323855681186558</v>
      </c>
      <c r="C11" s="3">
        <v>6</v>
      </c>
      <c r="D11" s="3">
        <v>13</v>
      </c>
      <c r="E11" s="3">
        <v>1</v>
      </c>
      <c r="F11" s="3">
        <v>6</v>
      </c>
      <c r="H11" t="s">
        <v>117</v>
      </c>
    </row>
    <row r="12" spans="1:13">
      <c r="A12" s="3">
        <v>583792</v>
      </c>
      <c r="B12" s="28">
        <v>10.103021238211204</v>
      </c>
      <c r="C12" s="3">
        <v>32</v>
      </c>
      <c r="D12" s="3">
        <v>10</v>
      </c>
      <c r="E12" s="3">
        <v>6</v>
      </c>
      <c r="F12" s="3">
        <v>14</v>
      </c>
      <c r="H12" s="31"/>
      <c r="I12" s="31" t="s">
        <v>118</v>
      </c>
      <c r="J12" s="31" t="s">
        <v>119</v>
      </c>
      <c r="K12" s="31" t="s">
        <v>120</v>
      </c>
      <c r="L12" s="31" t="s">
        <v>121</v>
      </c>
      <c r="M12" s="31" t="s">
        <v>122</v>
      </c>
    </row>
    <row r="13" spans="1:13">
      <c r="A13" s="3">
        <v>715535</v>
      </c>
      <c r="B13" s="28">
        <v>11.151477242278839</v>
      </c>
      <c r="C13" s="3">
        <v>10</v>
      </c>
      <c r="D13" s="3">
        <v>7</v>
      </c>
      <c r="E13" s="3">
        <v>2</v>
      </c>
      <c r="F13" s="3">
        <v>7</v>
      </c>
      <c r="H13" t="s">
        <v>123</v>
      </c>
      <c r="I13">
        <v>4</v>
      </c>
      <c r="J13">
        <v>11.354321371081102</v>
      </c>
      <c r="K13">
        <v>2.8385803427702756</v>
      </c>
      <c r="L13">
        <v>29.521984843203338</v>
      </c>
      <c r="M13">
        <v>3.4678670577641344E-5</v>
      </c>
    </row>
    <row r="14" spans="1:13">
      <c r="A14" s="3">
        <v>741587</v>
      </c>
      <c r="B14" s="28">
        <v>10.460719549116275</v>
      </c>
      <c r="C14" s="3">
        <v>19</v>
      </c>
      <c r="D14" s="3">
        <v>2</v>
      </c>
      <c r="E14" s="3">
        <v>9</v>
      </c>
      <c r="F14" s="3">
        <v>13</v>
      </c>
      <c r="H14" t="s">
        <v>124</v>
      </c>
      <c r="I14">
        <v>9</v>
      </c>
      <c r="J14">
        <v>0.86536265161771664</v>
      </c>
      <c r="K14">
        <v>9.6151405735301843E-2</v>
      </c>
    </row>
    <row r="15" spans="1:13" ht="15" thickBot="1">
      <c r="A15" s="3">
        <v>285355</v>
      </c>
      <c r="B15" s="28">
        <v>9.9950026613719007</v>
      </c>
      <c r="C15" s="3">
        <v>28</v>
      </c>
      <c r="D15" s="3">
        <v>3</v>
      </c>
      <c r="E15" s="3">
        <v>6</v>
      </c>
      <c r="F15" s="3">
        <v>3</v>
      </c>
      <c r="H15" s="30" t="s">
        <v>125</v>
      </c>
      <c r="I15" s="30">
        <v>13</v>
      </c>
      <c r="J15" s="30">
        <v>12.21968402269882</v>
      </c>
      <c r="K15" s="30"/>
      <c r="L15" s="30"/>
      <c r="M15" s="30"/>
    </row>
    <row r="16" spans="1:13" ht="15" thickBot="1">
      <c r="A16" s="3">
        <v>791193</v>
      </c>
      <c r="B16" s="28">
        <v>10.509623356106443</v>
      </c>
      <c r="C16" s="3">
        <v>34</v>
      </c>
      <c r="D16" s="3">
        <v>19</v>
      </c>
      <c r="E16" s="3">
        <v>5</v>
      </c>
      <c r="F16" s="3">
        <v>14</v>
      </c>
    </row>
    <row r="17" spans="8:16">
      <c r="H17" s="31"/>
      <c r="I17" s="31" t="s">
        <v>126</v>
      </c>
      <c r="J17" s="31" t="s">
        <v>115</v>
      </c>
      <c r="K17" s="31" t="s">
        <v>127</v>
      </c>
      <c r="L17" s="31" t="s">
        <v>128</v>
      </c>
      <c r="M17" s="31" t="s">
        <v>129</v>
      </c>
      <c r="N17" s="31" t="s">
        <v>130</v>
      </c>
      <c r="O17" s="31" t="s">
        <v>131</v>
      </c>
      <c r="P17" s="31" t="s">
        <v>132</v>
      </c>
    </row>
    <row r="18" spans="8:16">
      <c r="H18" t="s">
        <v>133</v>
      </c>
      <c r="I18">
        <v>11.663705654083532</v>
      </c>
      <c r="J18">
        <v>0.28582737469245245</v>
      </c>
      <c r="K18">
        <v>40.806817984573975</v>
      </c>
      <c r="L18">
        <v>1.5874473042857775E-11</v>
      </c>
      <c r="M18">
        <v>11.017119211099194</v>
      </c>
      <c r="N18">
        <v>12.310292097067871</v>
      </c>
      <c r="O18">
        <v>11.017119211099194</v>
      </c>
      <c r="P18">
        <v>12.310292097067871</v>
      </c>
    </row>
    <row r="19" spans="8:16">
      <c r="H19" t="s">
        <v>55</v>
      </c>
      <c r="I19">
        <v>-6.781283871361847E-2</v>
      </c>
      <c r="J19">
        <v>1.014984999869388E-2</v>
      </c>
      <c r="K19">
        <v>-6.681166590870296</v>
      </c>
      <c r="L19">
        <v>9.0458254693829822E-5</v>
      </c>
      <c r="M19">
        <v>-9.0773394589491185E-2</v>
      </c>
      <c r="N19">
        <v>-4.4852282837745755E-2</v>
      </c>
      <c r="O19">
        <v>-9.0773394589491185E-2</v>
      </c>
      <c r="P19">
        <v>-4.4852282837745755E-2</v>
      </c>
    </row>
    <row r="20" spans="8:16">
      <c r="H20" t="s">
        <v>73</v>
      </c>
      <c r="I20">
        <v>3.4975469014097156E-2</v>
      </c>
      <c r="J20">
        <v>1.2517442876018702E-2</v>
      </c>
      <c r="K20">
        <v>2.7941384962182831</v>
      </c>
      <c r="L20">
        <v>2.0911945317230497E-2</v>
      </c>
      <c r="M20">
        <v>6.6590459521940829E-3</v>
      </c>
      <c r="N20">
        <v>6.3291892076000222E-2</v>
      </c>
      <c r="O20">
        <v>6.6590459521940829E-3</v>
      </c>
      <c r="P20">
        <v>6.3291892076000222E-2</v>
      </c>
    </row>
    <row r="21" spans="8:16">
      <c r="H21" t="s">
        <v>79</v>
      </c>
      <c r="I21">
        <v>-5.7651995705276501E-2</v>
      </c>
      <c r="J21">
        <v>3.1268558708550213E-2</v>
      </c>
      <c r="K21">
        <v>-1.8437688875474738</v>
      </c>
      <c r="L21">
        <v>9.8320693568030998E-2</v>
      </c>
      <c r="M21">
        <v>-0.12838638975819955</v>
      </c>
      <c r="N21">
        <v>1.3082398347646559E-2</v>
      </c>
      <c r="O21">
        <v>-0.12838638975819955</v>
      </c>
      <c r="P21">
        <v>1.3082398347646559E-2</v>
      </c>
    </row>
    <row r="22" spans="8:16" ht="15" thickBot="1">
      <c r="H22" s="30" t="s">
        <v>94</v>
      </c>
      <c r="I22" s="30">
        <v>5.4454667853363892E-2</v>
      </c>
      <c r="J22" s="30">
        <v>1.8563192198877806E-2</v>
      </c>
      <c r="K22" s="30">
        <v>2.9334754103691187</v>
      </c>
      <c r="L22" s="30">
        <v>1.6662565988199773E-2</v>
      </c>
      <c r="M22" s="30">
        <v>1.2461809656272693E-2</v>
      </c>
      <c r="N22" s="30">
        <v>9.644752605045509E-2</v>
      </c>
      <c r="O22" s="30">
        <v>1.2461809656272693E-2</v>
      </c>
      <c r="P22" s="30">
        <v>9.644752605045509E-2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A1D9-FC34-4845-9EB6-3393CE855C35}">
  <sheetPr>
    <tabColor theme="7"/>
  </sheetPr>
  <dimension ref="A1:S25"/>
  <sheetViews>
    <sheetView zoomScaleNormal="100" workbookViewId="0">
      <selection activeCell="K26" sqref="K26"/>
    </sheetView>
  </sheetViews>
  <sheetFormatPr defaultRowHeight="14.45"/>
  <cols>
    <col min="1" max="1" width="10.7109375" bestFit="1" customWidth="1"/>
    <col min="2" max="2" width="24.140625" bestFit="1" customWidth="1"/>
    <col min="3" max="3" width="12.85546875" bestFit="1" customWidth="1"/>
    <col min="4" max="4" width="13.5703125" bestFit="1" customWidth="1"/>
    <col min="5" max="5" width="7.28515625" bestFit="1" customWidth="1"/>
    <col min="6" max="6" width="8.7109375" bestFit="1" customWidth="1"/>
    <col min="7" max="7" width="9.28515625" bestFit="1" customWidth="1"/>
    <col min="8" max="8" width="15.140625" bestFit="1" customWidth="1"/>
    <col min="9" max="9" width="11.28515625" bestFit="1" customWidth="1"/>
    <col min="10" max="10" width="12" bestFit="1" customWidth="1"/>
    <col min="11" max="11" width="16.42578125" bestFit="1" customWidth="1"/>
    <col min="12" max="14" width="13.28515625" bestFit="1" customWidth="1"/>
    <col min="15" max="15" width="12.7109375" bestFit="1" customWidth="1"/>
    <col min="16" max="17" width="13.28515625" bestFit="1" customWidth="1"/>
    <col min="18" max="18" width="13.28515625" customWidth="1"/>
    <col min="19" max="19" width="13.28515625" bestFit="1" customWidth="1"/>
    <col min="20" max="20" width="13.28515625" customWidth="1"/>
    <col min="21" max="21" width="13.28515625" bestFit="1" customWidth="1"/>
  </cols>
  <sheetData>
    <row r="1" spans="1:16" ht="15" thickBot="1"/>
    <row r="2" spans="1:16" ht="15" thickBot="1">
      <c r="A2" s="7" t="s">
        <v>2</v>
      </c>
      <c r="B2" s="29" t="s">
        <v>11</v>
      </c>
      <c r="C2" s="34" t="s">
        <v>50</v>
      </c>
      <c r="D2" s="34" t="s">
        <v>56</v>
      </c>
      <c r="E2" s="34" t="s">
        <v>66</v>
      </c>
      <c r="F2" s="34" t="s">
        <v>78</v>
      </c>
      <c r="G2" s="34" t="s">
        <v>84</v>
      </c>
      <c r="H2" s="34" t="s">
        <v>89</v>
      </c>
      <c r="I2" s="35" t="s">
        <v>94</v>
      </c>
      <c r="K2" t="s">
        <v>110</v>
      </c>
    </row>
    <row r="3" spans="1:16" ht="15" thickBot="1">
      <c r="A3" s="3">
        <v>697021</v>
      </c>
      <c r="B3" s="28">
        <v>11.644750857749651</v>
      </c>
      <c r="C3" s="3">
        <v>34</v>
      </c>
      <c r="D3" s="3">
        <v>4</v>
      </c>
      <c r="E3" s="3">
        <v>6</v>
      </c>
      <c r="F3" s="3">
        <v>21</v>
      </c>
      <c r="G3" s="3">
        <v>13</v>
      </c>
      <c r="H3" s="3">
        <v>8</v>
      </c>
      <c r="I3" s="3">
        <v>16</v>
      </c>
    </row>
    <row r="4" spans="1:16">
      <c r="A4" s="8">
        <v>159642</v>
      </c>
      <c r="B4" s="28">
        <v>10.336351634832408</v>
      </c>
      <c r="C4" s="3">
        <v>23</v>
      </c>
      <c r="D4" s="3">
        <v>1</v>
      </c>
      <c r="E4" s="3">
        <v>8</v>
      </c>
      <c r="F4" s="3">
        <v>6</v>
      </c>
      <c r="G4" s="3">
        <v>12</v>
      </c>
      <c r="H4" s="3">
        <v>6</v>
      </c>
      <c r="I4" s="3">
        <v>10</v>
      </c>
      <c r="K4" s="32" t="s">
        <v>111</v>
      </c>
      <c r="L4" s="32"/>
    </row>
    <row r="5" spans="1:16">
      <c r="A5" s="8">
        <v>965832</v>
      </c>
      <c r="B5" s="28">
        <v>10.582648491121333</v>
      </c>
      <c r="C5" s="3">
        <v>29</v>
      </c>
      <c r="D5" s="3">
        <v>3</v>
      </c>
      <c r="E5" s="3">
        <v>11</v>
      </c>
      <c r="F5" s="3">
        <v>10</v>
      </c>
      <c r="G5" s="3">
        <v>13</v>
      </c>
      <c r="H5" s="3">
        <v>4</v>
      </c>
      <c r="I5" s="3">
        <v>7</v>
      </c>
      <c r="K5" t="s">
        <v>112</v>
      </c>
      <c r="L5">
        <v>0.98769220464370522</v>
      </c>
    </row>
    <row r="6" spans="1:16">
      <c r="A6" s="3">
        <v>784333</v>
      </c>
      <c r="B6" s="28">
        <v>10.736396675471232</v>
      </c>
      <c r="C6" s="3">
        <v>43</v>
      </c>
      <c r="D6" s="3">
        <v>1</v>
      </c>
      <c r="E6" s="3">
        <v>8</v>
      </c>
      <c r="F6" s="3">
        <v>57</v>
      </c>
      <c r="G6" s="3">
        <v>13</v>
      </c>
      <c r="H6" s="3">
        <v>9</v>
      </c>
      <c r="I6" s="3">
        <v>9</v>
      </c>
      <c r="K6" t="s">
        <v>113</v>
      </c>
      <c r="L6">
        <v>0.97553589111394279</v>
      </c>
    </row>
    <row r="7" spans="1:16">
      <c r="A7" s="3">
        <v>743158</v>
      </c>
      <c r="B7" s="28">
        <v>9.9835302602096654</v>
      </c>
      <c r="C7" s="3">
        <v>29</v>
      </c>
      <c r="D7" s="3">
        <v>3</v>
      </c>
      <c r="E7" s="3">
        <v>8</v>
      </c>
      <c r="F7" s="3">
        <v>7</v>
      </c>
      <c r="G7" s="3">
        <v>13</v>
      </c>
      <c r="H7" s="3">
        <v>6</v>
      </c>
      <c r="I7" s="3">
        <v>8</v>
      </c>
      <c r="K7" t="s">
        <v>114</v>
      </c>
      <c r="L7">
        <v>0.96126516093040948</v>
      </c>
    </row>
    <row r="8" spans="1:16">
      <c r="A8" s="3">
        <v>775978</v>
      </c>
      <c r="B8" s="28">
        <v>10.802971166093903</v>
      </c>
      <c r="C8" s="3">
        <v>32</v>
      </c>
      <c r="D8" s="3">
        <v>3</v>
      </c>
      <c r="E8" s="3">
        <v>12</v>
      </c>
      <c r="F8" s="3">
        <v>4</v>
      </c>
      <c r="G8" s="3">
        <v>13</v>
      </c>
      <c r="H8" s="3">
        <v>6</v>
      </c>
      <c r="I8" s="3">
        <v>10</v>
      </c>
      <c r="K8" t="s">
        <v>115</v>
      </c>
      <c r="L8">
        <v>0.21212226162314718</v>
      </c>
    </row>
    <row r="9" spans="1:16" ht="15" thickBot="1">
      <c r="A9" s="3">
        <v>155627</v>
      </c>
      <c r="B9" s="28">
        <v>8.9001854436723438</v>
      </c>
      <c r="C9" s="3">
        <v>50</v>
      </c>
      <c r="D9" s="3">
        <v>8</v>
      </c>
      <c r="E9" s="3">
        <v>10</v>
      </c>
      <c r="F9" s="3">
        <v>8</v>
      </c>
      <c r="G9" s="3">
        <v>16</v>
      </c>
      <c r="H9" s="3">
        <v>5</v>
      </c>
      <c r="I9" s="3">
        <v>9</v>
      </c>
      <c r="K9" s="30" t="s">
        <v>116</v>
      </c>
      <c r="L9" s="30">
        <v>20</v>
      </c>
    </row>
    <row r="10" spans="1:16">
      <c r="A10" s="3">
        <v>303824</v>
      </c>
      <c r="B10" s="28">
        <v>8.4832916397405569</v>
      </c>
      <c r="C10" s="3">
        <v>43</v>
      </c>
      <c r="D10" s="3">
        <v>3</v>
      </c>
      <c r="E10" s="3">
        <v>6</v>
      </c>
      <c r="F10" s="3">
        <v>16</v>
      </c>
      <c r="G10" s="3">
        <v>17</v>
      </c>
      <c r="H10" s="3">
        <v>10</v>
      </c>
      <c r="I10" s="3">
        <v>8</v>
      </c>
    </row>
    <row r="11" spans="1:16" ht="15" thickBot="1">
      <c r="A11" s="3">
        <v>384868</v>
      </c>
      <c r="B11" s="28">
        <v>9.1413475004892319</v>
      </c>
      <c r="C11" s="3">
        <v>48</v>
      </c>
      <c r="D11" s="3">
        <v>8</v>
      </c>
      <c r="E11" s="3">
        <v>7</v>
      </c>
      <c r="F11" s="3">
        <v>5</v>
      </c>
      <c r="G11" s="3">
        <v>6</v>
      </c>
      <c r="H11" s="3">
        <v>2</v>
      </c>
      <c r="I11" s="3">
        <v>4</v>
      </c>
      <c r="K11" t="s">
        <v>117</v>
      </c>
    </row>
    <row r="12" spans="1:16">
      <c r="A12" s="3">
        <v>412740</v>
      </c>
      <c r="B12" s="28">
        <v>12.154779351142624</v>
      </c>
      <c r="C12" s="3">
        <v>25</v>
      </c>
      <c r="D12" s="3">
        <v>1</v>
      </c>
      <c r="E12" s="3">
        <v>10</v>
      </c>
      <c r="F12" s="3">
        <v>3</v>
      </c>
      <c r="G12" s="3">
        <v>22</v>
      </c>
      <c r="H12" s="3">
        <v>9</v>
      </c>
      <c r="I12" s="3">
        <v>24</v>
      </c>
      <c r="K12" s="31"/>
      <c r="L12" s="31" t="s">
        <v>118</v>
      </c>
      <c r="M12" s="31" t="s">
        <v>119</v>
      </c>
      <c r="N12" s="31" t="s">
        <v>120</v>
      </c>
      <c r="O12" s="31" t="s">
        <v>121</v>
      </c>
      <c r="P12" s="31" t="s">
        <v>122</v>
      </c>
    </row>
    <row r="13" spans="1:16">
      <c r="A13" s="3">
        <v>300578</v>
      </c>
      <c r="B13" s="28">
        <v>8.9446372062431774</v>
      </c>
      <c r="C13" s="3">
        <v>42</v>
      </c>
      <c r="D13" s="3">
        <v>2</v>
      </c>
      <c r="E13" s="3">
        <v>9</v>
      </c>
      <c r="F13" s="3">
        <v>32</v>
      </c>
      <c r="G13" s="3">
        <v>15</v>
      </c>
      <c r="H13" s="3">
        <v>5</v>
      </c>
      <c r="I13" s="3">
        <v>4</v>
      </c>
      <c r="K13" t="s">
        <v>123</v>
      </c>
      <c r="L13">
        <v>7</v>
      </c>
      <c r="M13">
        <v>21.531168265437021</v>
      </c>
      <c r="N13">
        <v>3.0758811807767175</v>
      </c>
      <c r="O13">
        <v>68.359213478760338</v>
      </c>
      <c r="P13">
        <v>1.0136297243626792E-8</v>
      </c>
    </row>
    <row r="14" spans="1:16">
      <c r="A14" s="3">
        <v>264175</v>
      </c>
      <c r="B14" s="28">
        <v>9.3206884291450489</v>
      </c>
      <c r="C14" s="3">
        <v>30</v>
      </c>
      <c r="D14" s="3">
        <v>1</v>
      </c>
      <c r="E14" s="3">
        <v>4</v>
      </c>
      <c r="F14" s="3">
        <v>10</v>
      </c>
      <c r="G14" s="3">
        <v>19</v>
      </c>
      <c r="H14" s="3">
        <v>5</v>
      </c>
      <c r="I14" s="3">
        <v>9</v>
      </c>
      <c r="K14" t="s">
        <v>124</v>
      </c>
      <c r="L14">
        <v>12</v>
      </c>
      <c r="M14">
        <v>0.53995024651342671</v>
      </c>
      <c r="N14">
        <v>4.4995853876118895E-2</v>
      </c>
    </row>
    <row r="15" spans="1:16" ht="15" thickBot="1">
      <c r="A15" s="3">
        <v>407054</v>
      </c>
      <c r="B15" s="28">
        <v>9.9034875525361272</v>
      </c>
      <c r="C15" s="3">
        <v>44</v>
      </c>
      <c r="D15" s="3">
        <v>3</v>
      </c>
      <c r="E15" s="3">
        <v>25</v>
      </c>
      <c r="F15" s="3">
        <v>8</v>
      </c>
      <c r="G15" s="3">
        <v>14</v>
      </c>
      <c r="H15" s="3">
        <v>11</v>
      </c>
      <c r="I15" s="3">
        <v>7</v>
      </c>
      <c r="K15" s="30" t="s">
        <v>125</v>
      </c>
      <c r="L15" s="30">
        <v>19</v>
      </c>
      <c r="M15" s="30">
        <v>22.071118511950448</v>
      </c>
      <c r="N15" s="30"/>
      <c r="O15" s="30"/>
      <c r="P15" s="30"/>
    </row>
    <row r="16" spans="1:16" ht="15" thickBot="1">
      <c r="A16" s="3">
        <v>144967</v>
      </c>
      <c r="B16" s="28">
        <v>8.5606783033559761</v>
      </c>
      <c r="C16" s="3">
        <v>49</v>
      </c>
      <c r="D16" s="3">
        <v>2</v>
      </c>
      <c r="E16" s="3">
        <v>15</v>
      </c>
      <c r="F16" s="3">
        <v>10</v>
      </c>
      <c r="G16" s="3">
        <v>14</v>
      </c>
      <c r="H16" s="3">
        <v>6</v>
      </c>
      <c r="I16" s="3">
        <v>7</v>
      </c>
    </row>
    <row r="17" spans="1:19">
      <c r="A17" s="3">
        <v>335473</v>
      </c>
      <c r="B17" s="28">
        <v>8.753581969480468</v>
      </c>
      <c r="C17" s="3">
        <v>38</v>
      </c>
      <c r="D17" s="3">
        <v>0</v>
      </c>
      <c r="E17" s="3">
        <v>15</v>
      </c>
      <c r="F17" s="3">
        <v>3</v>
      </c>
      <c r="G17" s="3">
        <v>14</v>
      </c>
      <c r="H17" s="3">
        <v>7</v>
      </c>
      <c r="I17" s="3">
        <v>6</v>
      </c>
      <c r="K17" s="31"/>
      <c r="L17" s="31" t="s">
        <v>126</v>
      </c>
      <c r="M17" s="31" t="s">
        <v>115</v>
      </c>
      <c r="N17" s="31" t="s">
        <v>127</v>
      </c>
      <c r="O17" s="31" t="s">
        <v>128</v>
      </c>
      <c r="P17" s="31" t="s">
        <v>129</v>
      </c>
      <c r="Q17" s="31" t="s">
        <v>130</v>
      </c>
      <c r="R17" s="31" t="s">
        <v>131</v>
      </c>
      <c r="S17" s="31" t="s">
        <v>132</v>
      </c>
    </row>
    <row r="18" spans="1:19">
      <c r="A18" s="3">
        <v>396536</v>
      </c>
      <c r="B18" s="28">
        <v>9.7981270368783022</v>
      </c>
      <c r="C18" s="3">
        <v>47</v>
      </c>
      <c r="D18" s="3">
        <v>3</v>
      </c>
      <c r="E18" s="3">
        <v>6</v>
      </c>
      <c r="F18" s="3">
        <v>6</v>
      </c>
      <c r="G18" s="3">
        <v>21</v>
      </c>
      <c r="H18" s="3">
        <v>3</v>
      </c>
      <c r="I18" s="3">
        <v>20</v>
      </c>
      <c r="K18" t="s">
        <v>133</v>
      </c>
      <c r="L18">
        <v>11.224006967384788</v>
      </c>
      <c r="M18">
        <v>0.34687650654720131</v>
      </c>
      <c r="N18">
        <v>32.357357029186637</v>
      </c>
      <c r="O18">
        <v>4.7989587171646016E-13</v>
      </c>
      <c r="P18">
        <v>10.468227984609598</v>
      </c>
      <c r="Q18">
        <v>11.979785950159979</v>
      </c>
      <c r="R18">
        <v>10.468227984609598</v>
      </c>
      <c r="S18">
        <v>11.979785950159979</v>
      </c>
    </row>
    <row r="19" spans="1:19">
      <c r="A19" s="3">
        <v>660137</v>
      </c>
      <c r="B19" s="28">
        <v>10.21051258783104</v>
      </c>
      <c r="C19" s="3">
        <v>53</v>
      </c>
      <c r="D19" s="3">
        <v>5</v>
      </c>
      <c r="E19" s="3">
        <v>8</v>
      </c>
      <c r="F19" s="3">
        <v>16</v>
      </c>
      <c r="G19" s="3">
        <v>7</v>
      </c>
      <c r="H19" s="3">
        <v>0</v>
      </c>
      <c r="I19" s="3">
        <v>12</v>
      </c>
      <c r="K19" t="s">
        <v>50</v>
      </c>
      <c r="L19">
        <v>-8.813271765769394E-2</v>
      </c>
      <c r="M19">
        <v>6.5241376711379596E-3</v>
      </c>
      <c r="N19">
        <v>-13.508715189684459</v>
      </c>
      <c r="O19">
        <v>1.279049082756964E-8</v>
      </c>
      <c r="P19">
        <v>-0.1023475925180846</v>
      </c>
      <c r="Q19">
        <v>-7.3917842797303276E-2</v>
      </c>
      <c r="R19">
        <v>-0.1023475925180846</v>
      </c>
      <c r="S19">
        <v>-7.3917842797303276E-2</v>
      </c>
    </row>
    <row r="20" spans="1:19">
      <c r="A20" s="3">
        <v>448227</v>
      </c>
      <c r="B20" s="28">
        <v>8.2940496401020276</v>
      </c>
      <c r="C20" s="3">
        <v>40</v>
      </c>
      <c r="D20" s="3">
        <v>3</v>
      </c>
      <c r="E20" s="3">
        <v>6</v>
      </c>
      <c r="F20" s="3">
        <v>17</v>
      </c>
      <c r="G20" s="3">
        <v>25</v>
      </c>
      <c r="H20" s="3">
        <v>16</v>
      </c>
      <c r="I20" s="3">
        <v>11</v>
      </c>
      <c r="K20" t="s">
        <v>56</v>
      </c>
      <c r="L20">
        <v>0.14879706494313727</v>
      </c>
      <c r="M20">
        <v>3.2955093404063669E-2</v>
      </c>
      <c r="N20">
        <v>4.5151462057391472</v>
      </c>
      <c r="O20">
        <v>7.0775166068257826E-4</v>
      </c>
      <c r="P20">
        <v>7.6994084631481496E-2</v>
      </c>
      <c r="Q20">
        <v>0.22060004525479304</v>
      </c>
      <c r="R20">
        <v>7.6994084631481496E-2</v>
      </c>
      <c r="S20">
        <v>0.22060004525479304</v>
      </c>
    </row>
    <row r="21" spans="1:19">
      <c r="A21" s="3">
        <v>714387</v>
      </c>
      <c r="B21" s="28">
        <v>10.849337086651827</v>
      </c>
      <c r="C21" s="3">
        <v>22</v>
      </c>
      <c r="D21" s="3">
        <v>2</v>
      </c>
      <c r="E21" s="3">
        <v>16</v>
      </c>
      <c r="F21" s="3">
        <v>20</v>
      </c>
      <c r="G21" s="3">
        <v>13</v>
      </c>
      <c r="H21" s="3">
        <v>3</v>
      </c>
      <c r="I21" s="3">
        <v>3</v>
      </c>
      <c r="K21" t="s">
        <v>66</v>
      </c>
      <c r="L21">
        <v>8.6917272201054135E-2</v>
      </c>
      <c r="M21">
        <v>1.1717415154085776E-2</v>
      </c>
      <c r="N21">
        <v>7.4177854977466362</v>
      </c>
      <c r="O21">
        <v>8.0783229165116536E-6</v>
      </c>
      <c r="P21">
        <v>6.1387217732794847E-2</v>
      </c>
      <c r="Q21">
        <v>0.11244732666931342</v>
      </c>
      <c r="R21">
        <v>6.1387217732794847E-2</v>
      </c>
      <c r="S21">
        <v>0.11244732666931342</v>
      </c>
    </row>
    <row r="22" spans="1:19">
      <c r="A22" s="3">
        <v>829240</v>
      </c>
      <c r="B22" s="28">
        <v>9.3355035149301884</v>
      </c>
      <c r="C22" s="3">
        <v>32</v>
      </c>
      <c r="D22" s="3">
        <v>0</v>
      </c>
      <c r="E22" s="3">
        <v>27</v>
      </c>
      <c r="F22" s="3">
        <v>0</v>
      </c>
      <c r="G22" s="3">
        <v>17</v>
      </c>
      <c r="H22" s="3">
        <v>17</v>
      </c>
      <c r="I22" s="3">
        <v>6</v>
      </c>
      <c r="K22" t="s">
        <v>78</v>
      </c>
      <c r="L22">
        <v>4.2134614518820009E-2</v>
      </c>
      <c r="M22">
        <v>4.6467173089312684E-3</v>
      </c>
      <c r="N22">
        <v>9.0676087477572089</v>
      </c>
      <c r="O22">
        <v>1.0201172348113549E-6</v>
      </c>
      <c r="P22">
        <v>3.2010287230283783E-2</v>
      </c>
      <c r="Q22">
        <v>5.2258941807356234E-2</v>
      </c>
      <c r="R22">
        <v>3.2010287230283783E-2</v>
      </c>
      <c r="S22">
        <v>5.2258941807356234E-2</v>
      </c>
    </row>
    <row r="23" spans="1:19">
      <c r="K23" t="s">
        <v>84</v>
      </c>
      <c r="L23">
        <v>-9.8392943159436419E-2</v>
      </c>
      <c r="M23">
        <v>1.7149511017762332E-2</v>
      </c>
      <c r="N23">
        <v>-5.7373614359924021</v>
      </c>
      <c r="O23">
        <v>9.347047772975888E-5</v>
      </c>
      <c r="P23">
        <v>-0.13575851778745648</v>
      </c>
      <c r="Q23">
        <v>-6.1027368531416361E-2</v>
      </c>
      <c r="R23">
        <v>-0.13575851778745648</v>
      </c>
      <c r="S23">
        <v>-6.1027368531416361E-2</v>
      </c>
    </row>
    <row r="24" spans="1:19">
      <c r="K24" t="s">
        <v>89</v>
      </c>
      <c r="L24">
        <v>-4.4658906705900371E-2</v>
      </c>
      <c r="M24">
        <v>1.7391807177596762E-2</v>
      </c>
      <c r="N24">
        <v>-2.5678128931550996</v>
      </c>
      <c r="O24">
        <v>2.4644597842500341E-2</v>
      </c>
      <c r="P24">
        <v>-8.2552399315546782E-2</v>
      </c>
      <c r="Q24">
        <v>-6.7654140962539536E-3</v>
      </c>
      <c r="R24">
        <v>-8.2552399315546782E-2</v>
      </c>
      <c r="S24">
        <v>-6.7654140962539536E-3</v>
      </c>
    </row>
    <row r="25" spans="1:19" ht="15" thickBot="1">
      <c r="K25" s="30" t="s">
        <v>94</v>
      </c>
      <c r="L25" s="30">
        <v>0.18894598829038384</v>
      </c>
      <c r="M25" s="30">
        <v>1.1602309454663144E-2</v>
      </c>
      <c r="N25" s="30">
        <v>16.285205029973028</v>
      </c>
      <c r="O25" s="30">
        <v>1.5127993503680676E-9</v>
      </c>
      <c r="P25" s="30">
        <v>0.1636667275967944</v>
      </c>
      <c r="Q25" s="30">
        <v>0.21422524898397327</v>
      </c>
      <c r="R25" s="30">
        <v>0.1636667275967944</v>
      </c>
      <c r="S25" s="30">
        <v>0.21422524898397327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8126F-42E2-461E-A23A-8A884728D084}">
  <dimension ref="A1:T67"/>
  <sheetViews>
    <sheetView tabSelected="1" zoomScale="79" workbookViewId="0">
      <selection activeCell="E18" sqref="E18"/>
    </sheetView>
  </sheetViews>
  <sheetFormatPr defaultRowHeight="14.45"/>
  <cols>
    <col min="1" max="1" width="25.7109375" bestFit="1" customWidth="1"/>
    <col min="2" max="2" width="17" customWidth="1"/>
    <col min="3" max="3" width="20.140625" customWidth="1"/>
    <col min="4" max="4" width="18" customWidth="1"/>
    <col min="5" max="5" width="15.42578125" customWidth="1"/>
    <col min="6" max="6" width="25.7109375" bestFit="1" customWidth="1"/>
    <col min="7" max="7" width="15.7109375" customWidth="1"/>
    <col min="8" max="8" width="19.5703125" bestFit="1" customWidth="1"/>
    <col min="9" max="9" width="15.28515625" customWidth="1"/>
    <col min="10" max="10" width="9.140625" bestFit="1" customWidth="1"/>
    <col min="11" max="11" width="23" customWidth="1"/>
    <col min="12" max="12" width="15" customWidth="1"/>
    <col min="13" max="13" width="19.42578125" customWidth="1"/>
    <col min="14" max="14" width="18.7109375" customWidth="1"/>
    <col min="16" max="16" width="23.28515625" customWidth="1"/>
    <col min="17" max="17" width="18.28515625" customWidth="1"/>
    <col min="18" max="18" width="21.7109375" customWidth="1"/>
    <col min="19" max="19" width="19.7109375" customWidth="1"/>
  </cols>
  <sheetData>
    <row r="1" spans="1:11">
      <c r="A1" s="77" t="s">
        <v>134</v>
      </c>
      <c r="B1" s="78"/>
      <c r="C1" s="78"/>
      <c r="D1" s="78"/>
      <c r="E1" s="57"/>
      <c r="F1" s="57"/>
      <c r="G1" s="57"/>
      <c r="H1" s="57"/>
      <c r="I1" s="57"/>
      <c r="J1" s="57"/>
      <c r="K1" s="58"/>
    </row>
    <row r="2" spans="1:11">
      <c r="A2" s="79"/>
      <c r="B2" s="80"/>
      <c r="C2" s="80"/>
      <c r="D2" s="80"/>
      <c r="K2" s="59"/>
    </row>
    <row r="3" spans="1:11">
      <c r="A3" s="79"/>
      <c r="B3" s="80"/>
      <c r="C3" s="80"/>
      <c r="D3" s="80"/>
      <c r="K3" s="59"/>
    </row>
    <row r="4" spans="1:11">
      <c r="A4" s="60"/>
      <c r="K4" s="59"/>
    </row>
    <row r="5" spans="1:11">
      <c r="A5" s="60"/>
      <c r="K5" s="59"/>
    </row>
    <row r="6" spans="1:11">
      <c r="A6" s="60"/>
      <c r="K6" s="59"/>
    </row>
    <row r="7" spans="1:11">
      <c r="A7" s="60"/>
      <c r="K7" s="59"/>
    </row>
    <row r="8" spans="1:11" ht="15" thickBot="1">
      <c r="A8" s="60"/>
      <c r="K8" s="59"/>
    </row>
    <row r="9" spans="1:11" ht="15" thickBot="1">
      <c r="A9" s="60"/>
      <c r="B9" s="71" t="s">
        <v>135</v>
      </c>
      <c r="C9" s="72"/>
      <c r="G9" s="71">
        <v>554026</v>
      </c>
      <c r="H9" s="72"/>
      <c r="K9" s="59"/>
    </row>
    <row r="10" spans="1:11">
      <c r="A10" s="60"/>
      <c r="B10" t="s">
        <v>126</v>
      </c>
      <c r="C10" t="s">
        <v>136</v>
      </c>
      <c r="G10" t="s">
        <v>126</v>
      </c>
      <c r="H10" t="s">
        <v>136</v>
      </c>
      <c r="K10" s="59"/>
    </row>
    <row r="11" spans="1:11" ht="15" thickBot="1">
      <c r="A11" s="60" t="str">
        <f>'Regression Analysis (SB)'!H18</f>
        <v>Intercept</v>
      </c>
      <c r="B11" s="64">
        <f>'Regression Analysis (SB)'!$I$18</f>
        <v>11.663705654083532</v>
      </c>
      <c r="F11" t="str">
        <f t="shared" ref="F11:G15" si="0">A11</f>
        <v>Intercept</v>
      </c>
      <c r="G11" s="64">
        <f t="shared" si="0"/>
        <v>11.663705654083532</v>
      </c>
      <c r="K11" s="59"/>
    </row>
    <row r="12" spans="1:11" ht="15" thickBot="1">
      <c r="A12" s="60" t="str">
        <f>'Regression Analysis (SB)'!H19</f>
        <v>Shared, Posted or Commented</v>
      </c>
      <c r="B12" s="64">
        <f>'Regression Analysis (SB)'!$I$19</f>
        <v>-6.781283871361847E-2</v>
      </c>
      <c r="C12" s="36">
        <v>20</v>
      </c>
      <c r="F12" t="str">
        <f t="shared" si="0"/>
        <v>Shared, Posted or Commented</v>
      </c>
      <c r="G12" s="64">
        <f t="shared" si="0"/>
        <v>-6.781283871361847E-2</v>
      </c>
      <c r="H12" s="36">
        <v>15</v>
      </c>
      <c r="K12" s="59"/>
    </row>
    <row r="13" spans="1:11" ht="15" thickBot="1">
      <c r="A13" s="60" t="str">
        <f>'Regression Analysis (SB)'!H20</f>
        <v>Distinctive Voice</v>
      </c>
      <c r="B13" s="64">
        <f>'Regression Analysis (SB)'!$I$20</f>
        <v>3.4975469014097156E-2</v>
      </c>
      <c r="C13" s="36">
        <v>30</v>
      </c>
      <c r="F13" t="str">
        <f t="shared" si="0"/>
        <v>Distinctive Voice</v>
      </c>
      <c r="G13" s="64">
        <f t="shared" si="0"/>
        <v>3.4975469014097156E-2</v>
      </c>
      <c r="H13" s="36">
        <v>27</v>
      </c>
      <c r="K13" s="59"/>
    </row>
    <row r="14" spans="1:11" ht="15" thickBot="1">
      <c r="A14" s="60" t="str">
        <f>'Regression Analysis (SB)'!H21</f>
        <v>Glamorous</v>
      </c>
      <c r="B14" s="64">
        <f>'Regression Analysis (SB)'!$I$21</f>
        <v>-5.7651995705276501E-2</v>
      </c>
      <c r="C14" s="36">
        <v>5</v>
      </c>
      <c r="F14" t="str">
        <f t="shared" si="0"/>
        <v>Glamorous</v>
      </c>
      <c r="G14" s="64">
        <f t="shared" si="0"/>
        <v>-5.7651995705276501E-2</v>
      </c>
      <c r="H14" s="36">
        <v>3</v>
      </c>
      <c r="K14" s="59"/>
    </row>
    <row r="15" spans="1:11" ht="15" thickBot="1">
      <c r="A15" s="60" t="str">
        <f>'Regression Analysis (SB)'!H22</f>
        <v>Unique</v>
      </c>
      <c r="B15" s="64">
        <f>'Regression Analysis (SB)'!$I$22</f>
        <v>5.4454667853363892E-2</v>
      </c>
      <c r="C15" s="36">
        <v>26</v>
      </c>
      <c r="F15" t="str">
        <f t="shared" si="0"/>
        <v>Unique</v>
      </c>
      <c r="G15" s="64">
        <f t="shared" si="0"/>
        <v>5.4454667853363892E-2</v>
      </c>
      <c r="H15" s="36">
        <v>24</v>
      </c>
      <c r="K15" s="59"/>
    </row>
    <row r="16" spans="1:11" ht="15" thickBot="1">
      <c r="A16" s="60" t="s">
        <v>137</v>
      </c>
      <c r="C16" s="36">
        <v>24</v>
      </c>
      <c r="F16" t="str">
        <f>A16</f>
        <v>Term Length</v>
      </c>
      <c r="H16" s="36">
        <v>18</v>
      </c>
      <c r="K16" s="59"/>
    </row>
    <row r="17" spans="1:14" ht="15" thickBot="1">
      <c r="A17" s="60"/>
      <c r="B17" t="s">
        <v>138</v>
      </c>
      <c r="C17" s="37">
        <f>EXP(B11+SUMPRODUCT(B12:B15,C12:C15))</f>
        <v>264150.51068240037</v>
      </c>
      <c r="G17" t="s">
        <v>138</v>
      </c>
      <c r="H17" s="37">
        <f>EXP(G11+SUMPRODUCT(G12:G15,H12:H15))</f>
        <v>335979.95456226211</v>
      </c>
      <c r="K17" s="59"/>
    </row>
    <row r="18" spans="1:14" ht="15" thickBot="1">
      <c r="A18" s="60"/>
      <c r="B18" t="s">
        <v>139</v>
      </c>
      <c r="C18" s="38">
        <f>C17*C16</f>
        <v>6339612.2563776094</v>
      </c>
      <c r="G18" t="s">
        <v>139</v>
      </c>
      <c r="H18" s="38">
        <f>H17*H16</f>
        <v>6047639.1821207181</v>
      </c>
      <c r="K18" s="59"/>
    </row>
    <row r="19" spans="1:14">
      <c r="A19" s="60"/>
      <c r="B19" t="s">
        <v>140</v>
      </c>
      <c r="C19" s="66">
        <f>C18*0.75</f>
        <v>4754709.1922832076</v>
      </c>
      <c r="G19" t="s">
        <v>140</v>
      </c>
      <c r="H19" s="66">
        <f>H18*0.75</f>
        <v>4535729.3865905385</v>
      </c>
      <c r="K19" s="59"/>
    </row>
    <row r="20" spans="1:14" ht="15" thickBot="1">
      <c r="A20" s="62"/>
      <c r="B20" s="30"/>
      <c r="C20" s="30"/>
      <c r="D20" s="30"/>
      <c r="E20" s="30"/>
      <c r="F20" s="30"/>
      <c r="G20" s="30"/>
      <c r="H20" s="30"/>
      <c r="I20" s="30"/>
      <c r="J20" s="30"/>
      <c r="K20" s="63"/>
    </row>
    <row r="21" spans="1:14">
      <c r="A21" s="77" t="s">
        <v>141</v>
      </c>
      <c r="B21" s="78"/>
      <c r="C21" s="78"/>
      <c r="D21" s="78"/>
      <c r="E21" s="57"/>
      <c r="F21" s="57"/>
      <c r="G21" s="57"/>
      <c r="H21" s="57"/>
      <c r="I21" s="57"/>
      <c r="J21" s="57"/>
      <c r="K21" s="57"/>
      <c r="L21" s="57"/>
      <c r="M21" s="57"/>
      <c r="N21" s="58"/>
    </row>
    <row r="22" spans="1:14">
      <c r="A22" s="79"/>
      <c r="B22" s="80"/>
      <c r="C22" s="80"/>
      <c r="D22" s="80"/>
      <c r="N22" s="59"/>
    </row>
    <row r="23" spans="1:14">
      <c r="A23" s="79"/>
      <c r="B23" s="80"/>
      <c r="C23" s="80"/>
      <c r="D23" s="80"/>
      <c r="N23" s="59"/>
    </row>
    <row r="24" spans="1:14">
      <c r="A24" s="60"/>
      <c r="N24" s="59"/>
    </row>
    <row r="25" spans="1:14">
      <c r="A25" s="60"/>
      <c r="N25" s="59"/>
    </row>
    <row r="26" spans="1:14">
      <c r="A26" s="60"/>
      <c r="N26" s="59"/>
    </row>
    <row r="27" spans="1:14">
      <c r="A27" s="60"/>
      <c r="N27" s="59"/>
    </row>
    <row r="28" spans="1:14" ht="15" thickBot="1">
      <c r="A28" s="60"/>
      <c r="N28" s="59"/>
    </row>
    <row r="29" spans="1:14" ht="15" thickBot="1">
      <c r="A29" s="60"/>
      <c r="B29" s="71" t="s">
        <v>135</v>
      </c>
      <c r="C29" s="72"/>
      <c r="G29" s="71">
        <v>159642</v>
      </c>
      <c r="H29" s="72"/>
      <c r="L29" s="71">
        <v>965832</v>
      </c>
      <c r="M29" s="72"/>
      <c r="N29" s="59"/>
    </row>
    <row r="30" spans="1:14">
      <c r="A30" s="60"/>
      <c r="B30" t="s">
        <v>126</v>
      </c>
      <c r="C30" t="s">
        <v>136</v>
      </c>
      <c r="G30" t="s">
        <v>126</v>
      </c>
      <c r="H30" t="s">
        <v>136</v>
      </c>
      <c r="L30" t="s">
        <v>126</v>
      </c>
      <c r="M30" t="s">
        <v>136</v>
      </c>
      <c r="N30" s="59"/>
    </row>
    <row r="31" spans="1:14" ht="15" thickBot="1">
      <c r="A31" s="60" t="str">
        <f>'Regression Analysis (No SB)'!K18</f>
        <v>Intercept</v>
      </c>
      <c r="B31" s="64">
        <f>'Regression Analysis (No SB)'!L18</f>
        <v>11.224006967384788</v>
      </c>
      <c r="F31" t="str">
        <f t="shared" ref="F31:G38" si="1">A31</f>
        <v>Intercept</v>
      </c>
      <c r="G31" s="64">
        <f t="shared" si="1"/>
        <v>11.224006967384788</v>
      </c>
      <c r="K31" t="str">
        <f t="shared" ref="K31:L38" si="2">A31</f>
        <v>Intercept</v>
      </c>
      <c r="L31" s="64">
        <f t="shared" si="2"/>
        <v>11.224006967384788</v>
      </c>
      <c r="N31" s="59"/>
    </row>
    <row r="32" spans="1:14" ht="15" thickBot="1">
      <c r="A32" s="60" t="str">
        <f>'Regression Analysis (No SB)'!K19</f>
        <v>Fan</v>
      </c>
      <c r="B32" s="64">
        <f>'Regression Analysis (No SB)'!L19</f>
        <v>-8.813271765769394E-2</v>
      </c>
      <c r="C32" s="36"/>
      <c r="F32" t="str">
        <f t="shared" si="1"/>
        <v>Fan</v>
      </c>
      <c r="G32" s="64">
        <f t="shared" si="1"/>
        <v>-8.813271765769394E-2</v>
      </c>
      <c r="H32" s="36">
        <v>23</v>
      </c>
      <c r="K32" t="str">
        <f t="shared" si="2"/>
        <v>Fan</v>
      </c>
      <c r="L32" s="64">
        <f t="shared" si="2"/>
        <v>-8.813271765769394E-2</v>
      </c>
      <c r="M32" s="36">
        <v>29</v>
      </c>
      <c r="N32" s="59"/>
    </row>
    <row r="33" spans="1:20" ht="15" thickBot="1">
      <c r="A33" s="60" t="str">
        <f>'Regression Analysis (No SB)'!K20</f>
        <v>Activist</v>
      </c>
      <c r="B33" s="64">
        <f>'Regression Analysis (No SB)'!L20</f>
        <v>0.14879706494313727</v>
      </c>
      <c r="C33" s="36"/>
      <c r="F33" t="str">
        <f t="shared" si="1"/>
        <v>Activist</v>
      </c>
      <c r="G33" s="64">
        <f t="shared" si="1"/>
        <v>0.14879706494313727</v>
      </c>
      <c r="H33" s="36">
        <v>1</v>
      </c>
      <c r="K33" t="str">
        <f t="shared" si="2"/>
        <v>Activist</v>
      </c>
      <c r="L33" s="64">
        <f t="shared" si="2"/>
        <v>0.14879706494313727</v>
      </c>
      <c r="M33" s="36">
        <v>3</v>
      </c>
      <c r="N33" s="59"/>
    </row>
    <row r="34" spans="1:20" ht="15" thickBot="1">
      <c r="A34" s="60" t="str">
        <f>'Regression Analysis (No SB)'!K21</f>
        <v>Classy</v>
      </c>
      <c r="B34" s="64">
        <f>'Regression Analysis (No SB)'!L21</f>
        <v>8.6917272201054135E-2</v>
      </c>
      <c r="C34" s="36"/>
      <c r="F34" t="str">
        <f t="shared" si="1"/>
        <v>Classy</v>
      </c>
      <c r="G34" s="64">
        <f t="shared" si="1"/>
        <v>8.6917272201054135E-2</v>
      </c>
      <c r="H34" s="36">
        <v>8</v>
      </c>
      <c r="K34" t="str">
        <f t="shared" si="2"/>
        <v>Classy</v>
      </c>
      <c r="L34" s="64">
        <f t="shared" si="2"/>
        <v>8.6917272201054135E-2</v>
      </c>
      <c r="M34" s="36">
        <v>11</v>
      </c>
      <c r="N34" s="59"/>
    </row>
    <row r="35" spans="1:20" ht="15" thickBot="1">
      <c r="A35" s="60" t="str">
        <f>'Regression Analysis (No SB)'!K22</f>
        <v>Funny</v>
      </c>
      <c r="B35" s="64">
        <f>'Regression Analysis (No SB)'!L22</f>
        <v>4.2134614518820009E-2</v>
      </c>
      <c r="C35" s="36"/>
      <c r="F35" t="str">
        <f t="shared" si="1"/>
        <v>Funny</v>
      </c>
      <c r="G35" s="64">
        <f t="shared" si="1"/>
        <v>4.2134614518820009E-2</v>
      </c>
      <c r="H35" s="36">
        <v>6</v>
      </c>
      <c r="K35" t="str">
        <f t="shared" si="2"/>
        <v>Funny</v>
      </c>
      <c r="L35" s="64">
        <f t="shared" si="2"/>
        <v>4.2134614518820009E-2</v>
      </c>
      <c r="M35" s="36">
        <v>10</v>
      </c>
      <c r="N35" s="59"/>
    </row>
    <row r="36" spans="1:20" ht="15" thickBot="1">
      <c r="A36" s="60" t="str">
        <f>'Regression Analysis (No SB)'!K23</f>
        <v>Interesting</v>
      </c>
      <c r="B36" s="64">
        <f>'Regression Analysis (No SB)'!L23</f>
        <v>-9.8392943159436419E-2</v>
      </c>
      <c r="C36" s="36"/>
      <c r="F36" t="str">
        <f t="shared" si="1"/>
        <v>Interesting</v>
      </c>
      <c r="G36" s="64">
        <f t="shared" si="1"/>
        <v>-9.8392943159436419E-2</v>
      </c>
      <c r="H36" s="36">
        <v>12</v>
      </c>
      <c r="K36" t="str">
        <f t="shared" si="2"/>
        <v>Interesting</v>
      </c>
      <c r="L36" s="64">
        <f t="shared" si="2"/>
        <v>-9.8392943159436419E-2</v>
      </c>
      <c r="M36" s="36">
        <v>13</v>
      </c>
      <c r="N36" s="59"/>
    </row>
    <row r="37" spans="1:20" ht="15" thickBot="1">
      <c r="A37" s="60" t="str">
        <f>'Regression Analysis (No SB)'!K24</f>
        <v>Sincere</v>
      </c>
      <c r="B37" s="64">
        <f>'Regression Analysis (No SB)'!L24</f>
        <v>-4.4658906705900371E-2</v>
      </c>
      <c r="C37" s="36"/>
      <c r="F37" t="str">
        <f t="shared" si="1"/>
        <v>Sincere</v>
      </c>
      <c r="G37" s="64">
        <f t="shared" si="1"/>
        <v>-4.4658906705900371E-2</v>
      </c>
      <c r="H37" s="36">
        <v>6</v>
      </c>
      <c r="K37" t="str">
        <f t="shared" si="2"/>
        <v>Sincere</v>
      </c>
      <c r="L37" s="64">
        <f t="shared" si="2"/>
        <v>-4.4658906705900371E-2</v>
      </c>
      <c r="M37" s="36">
        <v>4</v>
      </c>
      <c r="N37" s="59"/>
    </row>
    <row r="38" spans="1:20" ht="15" thickBot="1">
      <c r="A38" s="60" t="str">
        <f>'Regression Analysis (No SB)'!K25</f>
        <v>Unique</v>
      </c>
      <c r="B38" s="64">
        <f>'Regression Analysis (No SB)'!L25</f>
        <v>0.18894598829038384</v>
      </c>
      <c r="C38" s="36"/>
      <c r="F38" t="str">
        <f t="shared" si="1"/>
        <v>Unique</v>
      </c>
      <c r="G38" s="64">
        <f t="shared" si="1"/>
        <v>0.18894598829038384</v>
      </c>
      <c r="H38" s="36">
        <v>10</v>
      </c>
      <c r="K38" t="str">
        <f t="shared" si="2"/>
        <v>Unique</v>
      </c>
      <c r="L38" s="64">
        <f t="shared" si="2"/>
        <v>0.18894598829038384</v>
      </c>
      <c r="M38" s="36">
        <v>7</v>
      </c>
      <c r="N38" s="59"/>
    </row>
    <row r="39" spans="1:20" ht="15" thickBot="1">
      <c r="A39" s="60" t="s">
        <v>137</v>
      </c>
      <c r="C39" s="36"/>
      <c r="F39" t="s">
        <v>137</v>
      </c>
      <c r="H39" s="36">
        <v>12</v>
      </c>
      <c r="K39" t="str">
        <f>A39</f>
        <v>Term Length</v>
      </c>
      <c r="M39" s="36">
        <v>9</v>
      </c>
      <c r="N39" s="59"/>
    </row>
    <row r="40" spans="1:20" ht="15" thickBot="1">
      <c r="A40" s="60"/>
      <c r="B40" t="s">
        <v>138</v>
      </c>
      <c r="C40" s="37">
        <f>EXP(B31+SUMPRODUCT(B32:B38,C32:C38))</f>
        <v>74907.325419372268</v>
      </c>
      <c r="G40" t="s">
        <v>138</v>
      </c>
      <c r="H40" s="37">
        <f>EXP(G31+SUMPRODUCT(G32:G38,H32:H38))</f>
        <v>45921.491720921353</v>
      </c>
      <c r="L40" t="s">
        <v>138</v>
      </c>
      <c r="M40" s="37">
        <f>EXP(L31+SUMPRODUCT(L32:L38,M32:M38))</f>
        <v>31472.314062179612</v>
      </c>
      <c r="N40" s="59"/>
    </row>
    <row r="41" spans="1:20" ht="15" thickBot="1">
      <c r="A41" s="60"/>
      <c r="B41" t="s">
        <v>139</v>
      </c>
      <c r="C41" s="38">
        <f>C40*C39</f>
        <v>0</v>
      </c>
      <c r="G41" t="s">
        <v>139</v>
      </c>
      <c r="H41" s="38">
        <f>H40*H39</f>
        <v>551057.9006510562</v>
      </c>
      <c r="L41" t="s">
        <v>139</v>
      </c>
      <c r="M41" s="38">
        <f>M40*M39</f>
        <v>283250.82655961649</v>
      </c>
      <c r="N41" s="59"/>
    </row>
    <row r="42" spans="1:20">
      <c r="A42" s="60"/>
      <c r="B42" t="s">
        <v>140</v>
      </c>
      <c r="C42" s="65">
        <f>C41*0.75</f>
        <v>0</v>
      </c>
      <c r="G42" t="s">
        <v>140</v>
      </c>
      <c r="H42" s="66">
        <f>H41*0.75</f>
        <v>413293.42548829212</v>
      </c>
      <c r="L42" t="s">
        <v>140</v>
      </c>
      <c r="M42" s="66">
        <f>M41*0.75</f>
        <v>212438.11991971236</v>
      </c>
      <c r="N42" s="59"/>
    </row>
    <row r="43" spans="1:20" ht="15" thickBot="1">
      <c r="A43" s="62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63"/>
    </row>
    <row r="44" spans="1:20" ht="14.45" customHeight="1">
      <c r="A44" s="73" t="s">
        <v>142</v>
      </c>
      <c r="B44" s="74"/>
      <c r="C44" s="74"/>
      <c r="D44" s="74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8"/>
    </row>
    <row r="45" spans="1:20" ht="14.45" customHeight="1">
      <c r="A45" s="75"/>
      <c r="B45" s="76"/>
      <c r="C45" s="76"/>
      <c r="D45" s="76"/>
      <c r="T45" s="59"/>
    </row>
    <row r="46" spans="1:20" ht="15" customHeight="1" thickBot="1">
      <c r="A46" s="75"/>
      <c r="B46" s="76"/>
      <c r="C46" s="76"/>
      <c r="D46" s="76"/>
      <c r="T46" s="59"/>
    </row>
    <row r="47" spans="1:20" ht="15" thickBot="1">
      <c r="A47" s="60"/>
      <c r="F47" s="51">
        <v>554026</v>
      </c>
      <c r="K47" s="51">
        <v>159642</v>
      </c>
      <c r="P47" s="51">
        <v>965832</v>
      </c>
      <c r="T47" s="59"/>
    </row>
    <row r="48" spans="1:20" ht="15" thickBot="1">
      <c r="A48" s="60" t="s">
        <v>6</v>
      </c>
      <c r="B48" s="42" t="s">
        <v>143</v>
      </c>
      <c r="F48" t="s">
        <v>6</v>
      </c>
      <c r="G48" s="42" t="s">
        <v>99</v>
      </c>
      <c r="K48" t="s">
        <v>6</v>
      </c>
      <c r="L48" s="42" t="s">
        <v>98</v>
      </c>
      <c r="P48" t="s">
        <v>6</v>
      </c>
      <c r="Q48" s="42" t="s">
        <v>97</v>
      </c>
      <c r="T48" s="59"/>
    </row>
    <row r="49" spans="1:20" ht="15" thickBot="1">
      <c r="A49" s="60" t="s">
        <v>8</v>
      </c>
      <c r="B49" s="42" t="s">
        <v>143</v>
      </c>
      <c r="F49" t="s">
        <v>8</v>
      </c>
      <c r="G49" s="42" t="s">
        <v>103</v>
      </c>
      <c r="K49" t="s">
        <v>8</v>
      </c>
      <c r="L49" s="42" t="s">
        <v>104</v>
      </c>
      <c r="P49" t="s">
        <v>8</v>
      </c>
      <c r="Q49" s="42" t="s">
        <v>104</v>
      </c>
      <c r="T49" s="59"/>
    </row>
    <row r="50" spans="1:20">
      <c r="A50" s="60"/>
      <c r="T50" s="59"/>
    </row>
    <row r="51" spans="1:20" ht="15" thickBot="1">
      <c r="A51" s="67" t="s">
        <v>144</v>
      </c>
      <c r="B51" t="s">
        <v>145</v>
      </c>
      <c r="C51" t="s">
        <v>146</v>
      </c>
      <c r="D51" t="s">
        <v>147</v>
      </c>
      <c r="F51" s="68" t="s">
        <v>144</v>
      </c>
      <c r="G51" t="s">
        <v>145</v>
      </c>
      <c r="H51" t="s">
        <v>146</v>
      </c>
      <c r="I51" t="s">
        <v>147</v>
      </c>
      <c r="K51" s="68" t="s">
        <v>144</v>
      </c>
      <c r="L51" t="s">
        <v>145</v>
      </c>
      <c r="M51" t="s">
        <v>146</v>
      </c>
      <c r="N51" t="s">
        <v>147</v>
      </c>
      <c r="P51" s="68" t="s">
        <v>144</v>
      </c>
      <c r="Q51" t="s">
        <v>145</v>
      </c>
      <c r="R51" t="s">
        <v>146</v>
      </c>
      <c r="S51" t="s">
        <v>147</v>
      </c>
      <c r="T51" s="59"/>
    </row>
    <row r="52" spans="1:20" ht="15" thickBot="1">
      <c r="A52" s="60" t="s">
        <v>12</v>
      </c>
      <c r="B52" s="42"/>
      <c r="C52" s="52" t="e" cm="1">
        <f t="array" ref="C52">IF($B$49="A List",INDEX('Cleaned Data'!$B$40:$F$40,MATCH(TRIM($B$48),TRIM('Cleaned Data'!$B$39:$F$39),0)),IF($B$49="Supporting",INDEX('Cleaned Data'!$I$40:$M$40,MATCH(TRIM($B$48),TRIM('Cleaned Data'!$I$39:$M$39),0)),INDEX('Cleaned Data'!$P$40:$T$40,MATCH(TRIM($B$48),TRIM('Cleaned Data'!$P$39:$T$39),0))))</f>
        <v>#N/A</v>
      </c>
      <c r="D52" s="52" t="e">
        <f t="shared" ref="D52:D58" si="3">B52*C52</f>
        <v>#N/A</v>
      </c>
      <c r="F52" t="s">
        <v>12</v>
      </c>
      <c r="G52" s="42">
        <v>1</v>
      </c>
      <c r="H52" s="52" cm="1">
        <f t="array" ref="H52">IF($G$49="A List",INDEX('Cleaned Data'!$B$40:$F$40,MATCH(TRIM($G$48),TRIM('Cleaned Data'!$B$39:$F$39),0)),IF($G$49="Supporting",INDEX('Cleaned Data'!$I$40:$M$40,MATCH(TRIM($G$48),TRIM('Cleaned Data'!$I$39:$M$39),0)),INDEX('Cleaned Data'!$P$40:$T$40,MATCH(TRIM($G$48),TRIM('Cleaned Data'!$P$39:$T$39),0))))</f>
        <v>2500000</v>
      </c>
      <c r="I52" s="52">
        <f t="shared" ref="I52:I58" si="4">G52*H52</f>
        <v>2500000</v>
      </c>
      <c r="K52" t="s">
        <v>12</v>
      </c>
      <c r="L52" s="42">
        <v>0</v>
      </c>
      <c r="M52" s="52" cm="1">
        <f t="array" ref="M52">IF($L$49="A List",INDEX('Cleaned Data'!$B$40:$F$40,MATCH(TRIM($L$48),TRIM('Cleaned Data'!$B$39:$F$39),0)),IF($L$49="Supporting",INDEX('Cleaned Data'!$I$40:$M$40,MATCH(TRIM($L$48),TRIM('Cleaned Data'!$I$39:$M$39),0)),INDEX('Cleaned Data'!$P$40:$T$40,MATCH(TRIM($L$48),TRIM('Cleaned Data'!$P$39:$T$39),0))))</f>
        <v>1000000</v>
      </c>
      <c r="N52" s="52">
        <f t="shared" ref="N52:N58" si="5">L52*M52</f>
        <v>0</v>
      </c>
      <c r="P52" t="s">
        <v>12</v>
      </c>
      <c r="Q52" s="42">
        <v>0</v>
      </c>
      <c r="R52" s="52" cm="1">
        <f t="array" ref="R52">IF($Q$49="A List",INDEX('Cleaned Data'!$B$40:$F$40,MATCH(TRIM($Q$48),TRIM('Cleaned Data'!$B$39:$F$39),0)),IF($Q$49="Supporting",INDEX('Cleaned Data'!$I$40:$M$40,MATCH(TRIM($Q$48),TRIM('Cleaned Data'!$I$39:$M$39),0)),INDEX('Cleaned Data'!$P$40:$T$40,MATCH(TRIM($Q$48),TRIM('Cleaned Data'!$P$39:$T$39),0))))</f>
        <v>1000000</v>
      </c>
      <c r="S52" s="52">
        <f t="shared" ref="S52:S58" si="6">Q52*R52</f>
        <v>0</v>
      </c>
      <c r="T52" s="59"/>
    </row>
    <row r="53" spans="1:20" ht="15" thickBot="1">
      <c r="A53" s="60" t="s">
        <v>14</v>
      </c>
      <c r="B53" s="42"/>
      <c r="C53" s="52" t="e" cm="1">
        <f t="array" ref="C53">IF($B$49="A List",INDEX('Cleaned Data'!$B$43:$F$43,MATCH(TRIM($B$48),TRIM('Cleaned Data'!$B$39:$F$39),0)),IF($B$49="Supporting",INDEX('Cleaned Data'!$I$43:$M$43,MATCH(TRIM($B$48),TRIM('Cleaned Data'!$I$39:$M$39),0)),INDEX('Cleaned Data'!$P$43:$T$43,MATCH(TRIM($B$48),TRIM('Cleaned Data'!$P$39:$T$39),0))))</f>
        <v>#N/A</v>
      </c>
      <c r="D53" s="52" t="e">
        <f t="shared" si="3"/>
        <v>#N/A</v>
      </c>
      <c r="F53" t="s">
        <v>14</v>
      </c>
      <c r="G53" s="42">
        <v>3</v>
      </c>
      <c r="H53" s="52" cm="1">
        <f t="array" ref="H53">IF($G$49="A List",INDEX('Cleaned Data'!$B$43:$F$43,MATCH(TRIM($G$48),TRIM('Cleaned Data'!$B$39:$F$39),0)),IF($G$49="Supporting",INDEX('Cleaned Data'!$I$43:$M$43,MATCH(TRIM($G$48),TRIM('Cleaned Data'!$I$39:$M$39),0)),INDEX('Cleaned Data'!$P$43:$T$43,MATCH(TRIM($G$48),TRIM('Cleaned Data'!$P$39:$T$39),0))))</f>
        <v>250000</v>
      </c>
      <c r="I53" s="52">
        <f t="shared" si="4"/>
        <v>750000</v>
      </c>
      <c r="K53" t="s">
        <v>14</v>
      </c>
      <c r="L53" s="42">
        <v>1</v>
      </c>
      <c r="M53" s="52" cm="1">
        <f t="array" ref="M53">IF($L$49="A List",INDEX('Cleaned Data'!$B$43:$F$43,MATCH(TRIM($L$48),TRIM('Cleaned Data'!$B$39:$F$39),0)),IF($L$49="Supporting",INDEX('Cleaned Data'!$I$43:$M$43,MATCH(TRIM($L$48),TRIM('Cleaned Data'!$I$39:$M$39),0)),INDEX('Cleaned Data'!$P$43:$T$43,MATCH(TRIM($L$48),TRIM('Cleaned Data'!$P$39:$T$39),0))))</f>
        <v>85000</v>
      </c>
      <c r="N53" s="52">
        <f t="shared" si="5"/>
        <v>85000</v>
      </c>
      <c r="P53" t="s">
        <v>14</v>
      </c>
      <c r="Q53" s="42">
        <v>2</v>
      </c>
      <c r="R53" s="52" cm="1">
        <f t="array" ref="R53">IF($Q$49="A List",INDEX('Cleaned Data'!$B$43:$F$43,MATCH(TRIM($Q$48),TRIM('Cleaned Data'!$B$39:$F$39),0)),IF($Q$49="Supporting",INDEX('Cleaned Data'!$I$43:$M$43,MATCH(TRIM($Q$48),TRIM('Cleaned Data'!$I$39:$M$39),0)),INDEX('Cleaned Data'!$P$43:$T$43,MATCH(TRIM($Q$48),TRIM('Cleaned Data'!$P$39:$T$39),0))))</f>
        <v>125000</v>
      </c>
      <c r="S53" s="52">
        <f t="shared" si="6"/>
        <v>250000</v>
      </c>
      <c r="T53" s="59"/>
    </row>
    <row r="54" spans="1:20" ht="15" thickBot="1">
      <c r="A54" s="60" t="s">
        <v>16</v>
      </c>
      <c r="B54" s="42"/>
      <c r="C54" s="52" t="e" cm="1">
        <f t="array" ref="C54">IF($B$49="A List",INDEX('Cleaned Data'!$B$45:$F$45,MATCH(TRIM($B$48),TRIM('Cleaned Data'!$B$39:$F$39),0)),IF($B$49="Supporting",INDEX('Cleaned Data'!$I$45:$M$45,MATCH(TRIM($B$48),TRIM('Cleaned Data'!$I$39:$M$39),0)),INDEX('Cleaned Data'!$P$45:$T$45,MATCH(TRIM($B$48),TRIM('Cleaned Data'!$P$39:$T$39),0))))</f>
        <v>#N/A</v>
      </c>
      <c r="D54" s="52" t="e">
        <f t="shared" si="3"/>
        <v>#N/A</v>
      </c>
      <c r="F54" t="s">
        <v>16</v>
      </c>
      <c r="G54" s="42">
        <v>15</v>
      </c>
      <c r="H54" s="52" cm="1">
        <f t="array" ref="H54">IF($G$49="A List",INDEX('Cleaned Data'!$B$45:$F$45,MATCH(TRIM($G$48),TRIM('Cleaned Data'!$B$39:$F$39),0)),IF($G$49="Supporting",INDEX('Cleaned Data'!$I$45:$M$45,MATCH(TRIM($G$48),TRIM('Cleaned Data'!$I$39:$M$39),0)),INDEX('Cleaned Data'!$P$45:$T$45,MATCH(TRIM($G$48),TRIM('Cleaned Data'!$P$39:$T$39),0))))</f>
        <v>80000</v>
      </c>
      <c r="I54" s="52">
        <f t="shared" si="4"/>
        <v>1200000</v>
      </c>
      <c r="K54" t="s">
        <v>16</v>
      </c>
      <c r="L54" s="42">
        <v>5</v>
      </c>
      <c r="M54" s="52" cm="1">
        <f t="array" ref="M54">IF($L$49="A List",INDEX('Cleaned Data'!$B$45:$F$45,MATCH(TRIM($L$48),TRIM('Cleaned Data'!$B$39:$F$39),0)),IF($L$49="Supporting",INDEX('Cleaned Data'!$I$45:$M$45,MATCH(TRIM($L$48),TRIM('Cleaned Data'!$I$39:$M$39),0)),INDEX('Cleaned Data'!$P$45:$T$45,MATCH(TRIM($L$48),TRIM('Cleaned Data'!$P$39:$T$39),0))))</f>
        <v>35000</v>
      </c>
      <c r="N54" s="52">
        <f t="shared" si="5"/>
        <v>175000</v>
      </c>
      <c r="P54" t="s">
        <v>16</v>
      </c>
      <c r="Q54" s="42">
        <v>3</v>
      </c>
      <c r="R54" s="52" cm="1">
        <f t="array" ref="R54">IF($Q$49="A List",INDEX('Cleaned Data'!$B$45:$F$45,MATCH(TRIM($Q$48),TRIM('Cleaned Data'!$B$39:$F$39),0)),IF($Q$49="Supporting",INDEX('Cleaned Data'!$I$45:$M$45,MATCH(TRIM($Q$48),TRIM('Cleaned Data'!$I$39:$M$39),0)),INDEX('Cleaned Data'!$P$45:$T$45,MATCH(TRIM($Q$48),TRIM('Cleaned Data'!$P$39:$T$39),0))))</f>
        <v>35000</v>
      </c>
      <c r="S54" s="52">
        <f t="shared" si="6"/>
        <v>105000</v>
      </c>
      <c r="T54" s="59"/>
    </row>
    <row r="55" spans="1:20" ht="15" thickBot="1">
      <c r="A55" s="60" t="s">
        <v>18</v>
      </c>
      <c r="B55" s="42"/>
      <c r="C55" s="52" t="e" cm="1">
        <f t="array" ref="C55">IF($B$49="A List",INDEX('Cleaned Data'!$B$44:$F$44,MATCH(TRIM($B$48),TRIM('Cleaned Data'!$B$39:$F$39),0)),IF($B$49="Supporting",INDEX('Cleaned Data'!$I$44:$M$44,MATCH(TRIM($B$48),TRIM('Cleaned Data'!$I$39:$M$39),0)),INDEX('Cleaned Data'!$P$44:$T$44,MATCH(TRIM($B$48),TRIM('Cleaned Data'!$P$39:$T$39),0))))</f>
        <v>#N/A</v>
      </c>
      <c r="D55" s="52" t="e">
        <f t="shared" si="3"/>
        <v>#N/A</v>
      </c>
      <c r="F55" t="s">
        <v>18</v>
      </c>
      <c r="G55" s="42">
        <v>1</v>
      </c>
      <c r="H55" s="52" cm="1">
        <f t="array" ref="H55">IF($G$49="A List",INDEX('Cleaned Data'!$B$44:$F$44,MATCH(TRIM($G$48),TRIM('Cleaned Data'!$B$39:$F$39),0)),IF($G$49="Supporting",INDEX('Cleaned Data'!$I$44:$M$44,MATCH(TRIM($G$48),TRIM('Cleaned Data'!$I$39:$M$39),0)),INDEX('Cleaned Data'!$P$44:$T$44,MATCH(TRIM($G$48),TRIM('Cleaned Data'!$P$39:$T$39),0))))</f>
        <v>175000</v>
      </c>
      <c r="I55" s="52">
        <f t="shared" si="4"/>
        <v>175000</v>
      </c>
      <c r="K55" t="s">
        <v>18</v>
      </c>
      <c r="L55" s="42">
        <v>2</v>
      </c>
      <c r="M55" s="52" cm="1">
        <f t="array" ref="M55">IF($L$49="A List",INDEX('Cleaned Data'!$B$44:$F$44,MATCH(TRIM($L$48),TRIM('Cleaned Data'!$B$39:$F$39),0)),IF($L$49="Supporting",INDEX('Cleaned Data'!$I$44:$M$44,MATCH(TRIM($L$48),TRIM('Cleaned Data'!$I$39:$M$39),0)),INDEX('Cleaned Data'!$P$44:$T$44,MATCH(TRIM($L$48),TRIM('Cleaned Data'!$P$39:$T$39),0))))</f>
        <v>55000</v>
      </c>
      <c r="N55" s="52">
        <f t="shared" si="5"/>
        <v>110000</v>
      </c>
      <c r="O55" s="43"/>
      <c r="P55" t="s">
        <v>18</v>
      </c>
      <c r="Q55" s="42">
        <v>0</v>
      </c>
      <c r="R55" s="52" cm="1">
        <f t="array" ref="R55">IF($Q$49="A List",INDEX('Cleaned Data'!$B$44:$F$44,MATCH(TRIM($Q$48),TRIM('Cleaned Data'!$B$39:$F$39),0)),IF($Q$49="Supporting",INDEX('Cleaned Data'!$I$44:$M$44,MATCH(TRIM($Q$48),TRIM('Cleaned Data'!$I$39:$M$39),0)),INDEX('Cleaned Data'!$P$44:$T$44,MATCH(TRIM($Q$48),TRIM('Cleaned Data'!$P$39:$T$39),0))))</f>
        <v>50000</v>
      </c>
      <c r="S55" s="52">
        <f t="shared" si="6"/>
        <v>0</v>
      </c>
      <c r="T55" s="59"/>
    </row>
    <row r="56" spans="1:20" ht="15" thickBot="1">
      <c r="A56" s="60" t="s">
        <v>20</v>
      </c>
      <c r="B56" s="42"/>
      <c r="C56" s="52" t="e" cm="1">
        <f t="array" ref="C56">IF($B$49="A List",INDEX('Cleaned Data'!$B$41:$F$41,MATCH(TRIM($B$48),TRIM('Cleaned Data'!$B$39:$F$39),0)),IF($B$49="Supporting",INDEX('Cleaned Data'!$I$41:$M$41,MATCH(TRIM($B$48),TRIM('Cleaned Data'!$I$39:$M$39),0)),INDEX('Cleaned Data'!$P$41:$T$41,MATCH(TRIM($B$48),TRIM('Cleaned Data'!$P$39:$T$39),0))))</f>
        <v>#N/A</v>
      </c>
      <c r="D56" s="52" t="e">
        <f t="shared" si="3"/>
        <v>#N/A</v>
      </c>
      <c r="F56" t="s">
        <v>20</v>
      </c>
      <c r="G56" s="42">
        <v>1</v>
      </c>
      <c r="H56" s="52" cm="1">
        <f t="array" ref="H56">IF($G$49="A List",INDEX('Cleaned Data'!$B$41:$F$41,MATCH(TRIM($G$48),TRIM('Cleaned Data'!$B$39:$F$39),0)),IF($G$49="Supporting",INDEX('Cleaned Data'!$I$41:$M$41,MATCH(TRIM($G$48),TRIM('Cleaned Data'!$I$39:$M$39),0)),INDEX('Cleaned Data'!$P$41:$T$41,MATCH(TRIM($G$48),TRIM('Cleaned Data'!$P$39:$T$39),0))))</f>
        <v>1500000</v>
      </c>
      <c r="I56" s="52">
        <f t="shared" si="4"/>
        <v>1500000</v>
      </c>
      <c r="K56" t="s">
        <v>20</v>
      </c>
      <c r="L56" s="42">
        <v>0</v>
      </c>
      <c r="M56" s="52" cm="1">
        <f t="array" ref="M56">IF($L$49="A List",INDEX('Cleaned Data'!$B$41:$F$41,MATCH(TRIM($L$48),TRIM('Cleaned Data'!$B$39:$F$39),0)),IF($L$49="Supporting",INDEX('Cleaned Data'!$I$41:$M$41,MATCH(TRIM($L$48),TRIM('Cleaned Data'!$I$39:$M$39),0)),INDEX('Cleaned Data'!$P$41:$T$41,MATCH(TRIM($L$48),TRIM('Cleaned Data'!$P$39:$T$39),0))))</f>
        <v>0</v>
      </c>
      <c r="N56" s="52">
        <f t="shared" si="5"/>
        <v>0</v>
      </c>
      <c r="O56" s="44"/>
      <c r="P56" t="s">
        <v>20</v>
      </c>
      <c r="Q56" s="42">
        <v>0</v>
      </c>
      <c r="R56" s="52" cm="1">
        <f t="array" ref="R56">IF($Q$49="A List",INDEX('Cleaned Data'!$B$41:$F$41,MATCH(TRIM($Q$48),TRIM('Cleaned Data'!$B$39:$F$39),0)),IF($Q$49="Supporting",INDEX('Cleaned Data'!$I$41:$M$41,MATCH(TRIM($Q$48),TRIM('Cleaned Data'!$I$39:$M$39),0)),INDEX('Cleaned Data'!$P$41:$T$41,MATCH(TRIM($Q$48),TRIM('Cleaned Data'!$P$39:$T$39),0))))</f>
        <v>0</v>
      </c>
      <c r="S56" s="52">
        <f t="shared" si="6"/>
        <v>0</v>
      </c>
      <c r="T56" s="59"/>
    </row>
    <row r="57" spans="1:20" ht="15" thickBot="1">
      <c r="A57" s="60" t="s">
        <v>148</v>
      </c>
      <c r="B57" s="42"/>
      <c r="C57" s="52" t="e" cm="1">
        <f t="array" ref="C57">IF($B$49="A List",INDEX('Cleaned Data'!$B$42:$F$42,MATCH(TRIM($B$48),TRIM('Cleaned Data'!$B$39:$F$39),0)),IF($B$49="Supporting",INDEX('Cleaned Data'!$I$42:$M$42,MATCH(TRIM($B$48),TRIM('Cleaned Data'!$I$39:$M$39),0)),INDEX('Cleaned Data'!$P$42:$T$42,MATCH(TRIM($B$48),TRIM('Cleaned Data'!$P$39:$T$39),0))))</f>
        <v>#N/A</v>
      </c>
      <c r="D57" s="52" t="e">
        <f t="shared" si="3"/>
        <v>#N/A</v>
      </c>
      <c r="F57" t="s">
        <v>148</v>
      </c>
      <c r="G57" s="42">
        <v>2</v>
      </c>
      <c r="H57" s="52" cm="1">
        <f t="array" ref="H57">IF($G$49="A List",INDEX('Cleaned Data'!$B$42:$F$42,MATCH(TRIM($G$48),TRIM('Cleaned Data'!$B$39:$F$39),0)),IF($G$49="Supporting",INDEX('Cleaned Data'!$I$42:$M$42,MATCH(TRIM($G$48),TRIM('Cleaned Data'!$I$39:$M$39),0)),INDEX('Cleaned Data'!$P$42:$T$42,MATCH(TRIM($G$48),TRIM('Cleaned Data'!$P$39:$T$39),0))))</f>
        <v>1000000</v>
      </c>
      <c r="I57" s="52">
        <f t="shared" si="4"/>
        <v>2000000</v>
      </c>
      <c r="K57" t="s">
        <v>148</v>
      </c>
      <c r="L57" s="42">
        <v>0</v>
      </c>
      <c r="M57" s="52" cm="1">
        <f t="array" ref="M57">IF($L$49="A List",INDEX('Cleaned Data'!$B$42:$F$42,MATCH(TRIM($L$48),TRIM('Cleaned Data'!$B$39:$F$39),0)),IF($L$49="Supporting",INDEX('Cleaned Data'!$I$42:$M$42,MATCH(TRIM($L$48),TRIM('Cleaned Data'!$I$39:$M$39),0)),INDEX('Cleaned Data'!$P$42:$T$42,MATCH(TRIM($L$48),TRIM('Cleaned Data'!$P$39:$T$39),0))))</f>
        <v>0</v>
      </c>
      <c r="N57" s="52">
        <f t="shared" si="5"/>
        <v>0</v>
      </c>
      <c r="P57" t="s">
        <v>148</v>
      </c>
      <c r="Q57" s="42">
        <v>0</v>
      </c>
      <c r="R57" s="52" cm="1">
        <f t="array" ref="R57">IF($Q$49="A List",INDEX('Cleaned Data'!$B$42:$F$42,MATCH(TRIM($Q$48),TRIM('Cleaned Data'!$B$39:$F$39),0)),IF($Q$49="Supporting",INDEX('Cleaned Data'!$I$42:$M$42,MATCH(TRIM($Q$48),TRIM('Cleaned Data'!$I$39:$M$39),0)),INDEX('Cleaned Data'!$P$42:$T$42,MATCH(TRIM($Q$48),TRIM('Cleaned Data'!$P$39:$T$39),0))))</f>
        <v>0</v>
      </c>
      <c r="S57" s="52">
        <f t="shared" si="6"/>
        <v>0</v>
      </c>
      <c r="T57" s="59"/>
    </row>
    <row r="58" spans="1:20" ht="15" thickBot="1">
      <c r="A58" s="60" t="s">
        <v>24</v>
      </c>
      <c r="B58" s="42"/>
      <c r="C58" s="52" t="e" cm="1">
        <f t="array" ref="C58">IF($B$49="A List",INDEX('Cleaned Data'!$B$46:$F$46,MATCH(TRIM($B$48),TRIM('Cleaned Data'!$B$39:$F$39),0)),IF($B$49="Supporting",INDEX('Cleaned Data'!$I$46:$M$46,MATCH(TRIM($B$48),TRIM('Cleaned Data'!$I$39:$M$39),0)),INDEX('Cleaned Data'!$P$46:$T$46,MATCH(TRIM($B$48),TRIM('Cleaned Data'!$P$39:$T$39),0))))</f>
        <v>#N/A</v>
      </c>
      <c r="D58" s="55" t="e">
        <f t="shared" si="3"/>
        <v>#N/A</v>
      </c>
      <c r="F58" t="s">
        <v>24</v>
      </c>
      <c r="G58" s="42">
        <v>200</v>
      </c>
      <c r="H58" s="52" cm="1">
        <f t="array" ref="H58">IF($G$49="A List",INDEX('Cleaned Data'!$B$46:$F$46,MATCH(TRIM($G$48),TRIM('Cleaned Data'!$B$39:$F$39),0)),IF($G$49="Supporting",INDEX('Cleaned Data'!$I$46:$M$46,MATCH(TRIM($G$48),TRIM('Cleaned Data'!$I$39:$M$39),0)),INDEX('Cleaned Data'!$P$46:$T$46,MATCH(TRIM($G$48),TRIM('Cleaned Data'!$P$39:$T$39),0))))</f>
        <v>300</v>
      </c>
      <c r="I58" s="52">
        <f t="shared" si="4"/>
        <v>60000</v>
      </c>
      <c r="K58" t="s">
        <v>24</v>
      </c>
      <c r="L58" s="42">
        <v>0</v>
      </c>
      <c r="M58" s="52" cm="1">
        <f t="array" ref="M58">IF($L$49="A List",INDEX('Cleaned Data'!$B$46:$F$46,MATCH(TRIM($L$48),TRIM('Cleaned Data'!$B$39:$F$39),0)),IF($L$49="Supporting",INDEX('Cleaned Data'!$I$46:$M$46,MATCH(TRIM($L$48),TRIM('Cleaned Data'!$I$39:$M$39),0)),INDEX('Cleaned Data'!$P$46:$T$46,MATCH(TRIM($L$48),TRIM('Cleaned Data'!$P$39:$T$39),0))))</f>
        <v>150</v>
      </c>
      <c r="N58" s="55">
        <f t="shared" si="5"/>
        <v>0</v>
      </c>
      <c r="P58" t="s">
        <v>24</v>
      </c>
      <c r="Q58" s="42">
        <v>0</v>
      </c>
      <c r="R58" s="52" cm="1">
        <f t="array" ref="R58">IF($Q$49="A List",INDEX('Cleaned Data'!$B$46:$F$46,MATCH(TRIM($Q$48),TRIM('Cleaned Data'!$B$39:$F$39),0)),IF($Q$49="Supporting",INDEX('Cleaned Data'!$I$46:$M$46,MATCH(TRIM($Q$48),TRIM('Cleaned Data'!$I$39:$M$39),0)),INDEX('Cleaned Data'!$P$46:$T$46,MATCH(TRIM($Q$48),TRIM('Cleaned Data'!$P$39:$T$39),0))))</f>
        <v>0</v>
      </c>
      <c r="S58" s="52">
        <f t="shared" si="6"/>
        <v>0</v>
      </c>
      <c r="T58" s="59"/>
    </row>
    <row r="59" spans="1:20" ht="15" thickBot="1">
      <c r="A59" s="60" t="s">
        <v>149</v>
      </c>
      <c r="C59" s="61"/>
      <c r="D59" s="50" t="e">
        <f>SUM(D52:D58)</f>
        <v>#N/A</v>
      </c>
      <c r="F59" t="s">
        <v>149</v>
      </c>
      <c r="H59" s="61"/>
      <c r="I59" s="53">
        <f>SUM(I52:I58)</f>
        <v>8185000</v>
      </c>
      <c r="K59" t="s">
        <v>149</v>
      </c>
      <c r="M59" s="61"/>
      <c r="N59" s="50">
        <f>SUM(N52:N58)</f>
        <v>370000</v>
      </c>
      <c r="P59" t="s">
        <v>149</v>
      </c>
      <c r="R59" s="61"/>
      <c r="S59" s="50">
        <f>SUM(S52:S58)</f>
        <v>355000</v>
      </c>
      <c r="T59" s="59"/>
    </row>
    <row r="60" spans="1:20" ht="15" thickBot="1">
      <c r="A60" s="60" t="s">
        <v>150</v>
      </c>
      <c r="C60" s="61"/>
      <c r="D60" s="52" t="e">
        <f>D59*0.75</f>
        <v>#N/A</v>
      </c>
      <c r="F60" t="s">
        <v>150</v>
      </c>
      <c r="H60" s="61"/>
      <c r="I60" s="52">
        <f>I59*0.75</f>
        <v>6138750</v>
      </c>
      <c r="K60" t="s">
        <v>150</v>
      </c>
      <c r="M60" s="61"/>
      <c r="N60" s="52">
        <f>N59*0.75</f>
        <v>277500</v>
      </c>
      <c r="P60" t="s">
        <v>150</v>
      </c>
      <c r="R60" s="61"/>
      <c r="S60" s="52">
        <f>S59*0.75</f>
        <v>266250</v>
      </c>
      <c r="T60" s="59"/>
    </row>
    <row r="61" spans="1:20" ht="15" thickBot="1">
      <c r="A61" s="60" t="s">
        <v>151</v>
      </c>
      <c r="D61" s="69">
        <f>IF(B52=1,C18,C41)</f>
        <v>0</v>
      </c>
      <c r="F61" t="s">
        <v>151</v>
      </c>
      <c r="I61" s="54">
        <f>H18</f>
        <v>6047639.1821207181</v>
      </c>
      <c r="K61" t="s">
        <v>151</v>
      </c>
      <c r="N61" s="54">
        <f>H41</f>
        <v>551057.9006510562</v>
      </c>
      <c r="O61" s="45"/>
      <c r="P61" t="s">
        <v>151</v>
      </c>
      <c r="S61" s="54">
        <f>M41</f>
        <v>283250.82655961649</v>
      </c>
      <c r="T61" s="59"/>
    </row>
    <row r="62" spans="1:20" ht="15" thickBot="1">
      <c r="A62" s="60" t="s">
        <v>152</v>
      </c>
      <c r="D62" s="52" t="e">
        <f>D59-D61</f>
        <v>#N/A</v>
      </c>
      <c r="F62" t="s">
        <v>152</v>
      </c>
      <c r="I62" s="54">
        <f>I59-I61</f>
        <v>2137360.8178792819</v>
      </c>
      <c r="K62" t="s">
        <v>152</v>
      </c>
      <c r="N62" s="54">
        <f>N59-N61</f>
        <v>-181057.9006510562</v>
      </c>
      <c r="P62" t="s">
        <v>152</v>
      </c>
      <c r="S62" s="54">
        <f>S59-S61</f>
        <v>71749.173440383514</v>
      </c>
      <c r="T62" s="59"/>
    </row>
    <row r="63" spans="1:20" ht="15" thickBot="1">
      <c r="A63" s="60" t="s">
        <v>153</v>
      </c>
      <c r="D63" s="56" t="e">
        <f>(D59-D61)/D61</f>
        <v>#N/A</v>
      </c>
      <c r="F63" t="s">
        <v>153</v>
      </c>
      <c r="I63" s="56">
        <f>(I59-I61)/I61</f>
        <v>0.35342069087028044</v>
      </c>
      <c r="K63" t="s">
        <v>153</v>
      </c>
      <c r="N63" s="56">
        <f>(N59-N61)/N61</f>
        <v>-0.32856420430075034</v>
      </c>
      <c r="P63" t="s">
        <v>153</v>
      </c>
      <c r="S63" s="56">
        <f>(S59-S61)/S61</f>
        <v>0.25330613969199589</v>
      </c>
      <c r="T63" s="59"/>
    </row>
    <row r="64" spans="1:20" ht="15" thickBot="1">
      <c r="A64" s="60" t="s">
        <v>154</v>
      </c>
      <c r="D64" s="41" t="e">
        <f>IF(D59&gt;D61,"Over Budget","Under Budget")</f>
        <v>#N/A</v>
      </c>
      <c r="F64" t="s">
        <v>154</v>
      </c>
      <c r="I64" s="41" t="str">
        <f>IF(I59&gt;I61,"Over Budget","Under Budget")</f>
        <v>Over Budget</v>
      </c>
      <c r="K64" t="s">
        <v>154</v>
      </c>
      <c r="N64" s="41" t="str">
        <f>IF(N59&gt;N61,"Over Budget","Under Budget")</f>
        <v>Under Budget</v>
      </c>
      <c r="P64" t="s">
        <v>154</v>
      </c>
      <c r="S64" s="41" t="str">
        <f>IF(S59&gt;S61,"Over Budget","Under Budget")</f>
        <v>Over Budget</v>
      </c>
      <c r="T64" s="59"/>
    </row>
    <row r="65" spans="1:20">
      <c r="A65" s="60"/>
      <c r="T65" s="59"/>
    </row>
    <row r="66" spans="1:20">
      <c r="A66" s="60"/>
      <c r="T66" s="59"/>
    </row>
    <row r="67" spans="1:20" ht="15" thickBot="1">
      <c r="A67" s="6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63"/>
    </row>
  </sheetData>
  <mergeCells count="8">
    <mergeCell ref="L29:M29"/>
    <mergeCell ref="A44:D46"/>
    <mergeCell ref="A1:D3"/>
    <mergeCell ref="B9:C9"/>
    <mergeCell ref="G9:H9"/>
    <mergeCell ref="A21:D23"/>
    <mergeCell ref="B29:C29"/>
    <mergeCell ref="G29:H29"/>
  </mergeCells>
  <dataValidations count="2">
    <dataValidation type="list" allowBlank="1" showInputMessage="1" showErrorMessage="1" sqref="B48" xr:uid="{C55C3A39-3EE4-40D8-B0FE-2D990FEF4456}">
      <formula1>"Select One,Entertainment,Music Artist,Athlete,TV Personality,Comedian"</formula1>
    </dataValidation>
    <dataValidation type="list" allowBlank="1" showInputMessage="1" showErrorMessage="1" sqref="B49" xr:uid="{6CC75487-FD37-4402-AE65-9EA6BC2CD8FC}">
      <formula1>"Select One,A List,Supporting,B List"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2026-01-07T21:22:27Z</dcterms:created>
  <dcterms:modified xsi:type="dcterms:W3CDTF">2026-09-22T21:51:52Z</dcterms:modified>
  <cp:category/>
  <cp:contentStatus/>
</cp:coreProperties>
</file>